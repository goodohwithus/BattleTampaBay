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참가 명단" sheetId="1" state="visible" r:id="rId3"/>
    <sheet name="접수 현황" sheetId="2" state="visible" r:id="rId4"/>
  </sheets>
  <definedNames>
    <definedName function="false" hidden="true" localSheetId="0" name="_xlnm._FilterDatabase" vbProcedure="false">'참가 명단'!$A$4:$U$64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<sst xmlns="http://schemas.openxmlformats.org/spreadsheetml/2006/main" count="76" uniqueCount="69">
  <si>
    <r>
      <rPr>
        <b val="true"/>
        <sz val="15"/>
        <color rgb="FF0D2240"/>
        <rFont val="Arial"/>
        <family val="0"/>
        <charset val="1"/>
      </rPr>
      <t xml:space="preserve">BATTLE OF TAMPA BAY 2027 · </t>
    </r>
    <r>
      <rPr>
        <b val="true"/>
        <sz val="15"/>
        <color rgb="FF0D2240"/>
        <rFont val="Noto Sans CJK SC"/>
        <family val="2"/>
      </rPr>
      <t xml:space="preserve">참가 신청 명단</t>
    </r>
  </si>
  <si>
    <r>
      <rPr>
        <sz val="9"/>
        <color rgb="FF5C6B7A"/>
        <rFont val="Arial"/>
        <family val="0"/>
        <charset val="1"/>
      </rPr>
      <t xml:space="preserve">2027. 1. 29(</t>
    </r>
    <r>
      <rPr>
        <sz val="9"/>
        <color rgb="FF5C6B7A"/>
        <rFont val="Noto Sans CJK SC"/>
        <family val="2"/>
      </rPr>
      <t xml:space="preserve">금</t>
    </r>
    <r>
      <rPr>
        <sz val="9"/>
        <color rgb="FF5C6B7A"/>
        <rFont val="Arial"/>
        <family val="0"/>
        <charset val="1"/>
      </rPr>
      <t xml:space="preserve">) – 1. 31(</t>
    </r>
    <r>
      <rPr>
        <sz val="9"/>
        <color rgb="FF5C6B7A"/>
        <rFont val="Noto Sans CJK SC"/>
        <family val="2"/>
      </rPr>
      <t xml:space="preserve">일</t>
    </r>
    <r>
      <rPr>
        <sz val="9"/>
        <color rgb="FF5C6B7A"/>
        <rFont val="Arial"/>
        <family val="0"/>
        <charset val="1"/>
      </rPr>
      <t xml:space="preserve">) · 2</t>
    </r>
    <r>
      <rPr>
        <sz val="9"/>
        <color rgb="FF5C6B7A"/>
        <rFont val="Noto Sans CJK SC"/>
        <family val="2"/>
      </rPr>
      <t xml:space="preserve">인 </t>
    </r>
    <r>
      <rPr>
        <sz val="9"/>
        <color rgb="FF5C6B7A"/>
        <rFont val="Arial"/>
        <family val="0"/>
        <charset val="1"/>
      </rPr>
      <t xml:space="preserve">1</t>
    </r>
    <r>
      <rPr>
        <sz val="9"/>
        <color rgb="FF5C6B7A"/>
        <rFont val="Noto Sans CJK SC"/>
        <family val="2"/>
      </rPr>
      <t xml:space="preserve">팀 </t>
    </r>
    <r>
      <rPr>
        <sz val="9"/>
        <color rgb="FF5C6B7A"/>
        <rFont val="Arial"/>
        <family val="0"/>
        <charset val="1"/>
      </rPr>
      <t xml:space="preserve">· </t>
    </r>
    <r>
      <rPr>
        <sz val="9"/>
        <color rgb="FF5C6B7A"/>
        <rFont val="Noto Sans CJK SC"/>
        <family val="2"/>
      </rPr>
      <t xml:space="preserve">정원 </t>
    </r>
    <r>
      <rPr>
        <sz val="9"/>
        <color rgb="FF5C6B7A"/>
        <rFont val="Arial"/>
        <family val="0"/>
        <charset val="1"/>
      </rPr>
      <t xml:space="preserve">24</t>
    </r>
    <r>
      <rPr>
        <sz val="9"/>
        <color rgb="FF5C6B7A"/>
        <rFont val="Noto Sans CJK SC"/>
        <family val="2"/>
      </rPr>
      <t xml:space="preserve">개 팀</t>
    </r>
    <r>
      <rPr>
        <sz val="9"/>
        <color rgb="FF5C6B7A"/>
        <rFont val="Arial"/>
        <family val="0"/>
        <charset val="1"/>
      </rPr>
      <t xml:space="preserve">(48</t>
    </r>
    <r>
      <rPr>
        <sz val="9"/>
        <color rgb="FF5C6B7A"/>
        <rFont val="Noto Sans CJK SC"/>
        <family val="2"/>
      </rPr>
      <t xml:space="preserve">명</t>
    </r>
    <r>
      <rPr>
        <sz val="9"/>
        <color rgb="FF5C6B7A"/>
        <rFont val="Arial"/>
        <family val="0"/>
        <charset val="1"/>
      </rPr>
      <t xml:space="preserve">) · </t>
    </r>
    <r>
      <rPr>
        <sz val="9"/>
        <color rgb="FF5C6B7A"/>
        <rFont val="Noto Sans CJK SC"/>
        <family val="2"/>
      </rPr>
      <t xml:space="preserve">한 줄에 한 팀씩 입력하세요</t>
    </r>
  </si>
  <si>
    <r>
      <rPr>
        <b val="true"/>
        <sz val="10"/>
        <color rgb="FFFFFFFF"/>
        <rFont val="Noto Sans CJK SC"/>
        <family val="2"/>
      </rPr>
      <t xml:space="preserve">선 수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</si>
  <si>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선 수 </t>
    </r>
    <r>
      <rPr>
        <b val="true"/>
        <sz val="10"/>
        <color rgb="FFFFFFFF"/>
        <rFont val="Arial"/>
        <family val="0"/>
        <charset val="1"/>
      </rPr>
      <t xml:space="preserve">2</t>
    </r>
  </si>
  <si>
    <t xml:space="preserve">No.</t>
  </si>
  <si>
    <t xml:space="preserve">접수일</t>
  </si>
  <si>
    <r>
      <rPr>
        <b val="true"/>
        <sz val="9"/>
        <color rgb="FFFFFFFF"/>
        <rFont val="Noto Sans CJK SC"/>
        <family val="2"/>
      </rPr>
      <t xml:space="preserve">지역 </t>
    </r>
    <r>
      <rPr>
        <b val="true"/>
        <sz val="9"/>
        <color rgb="FFFFFFFF"/>
        <rFont val="Arial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팀</t>
    </r>
  </si>
  <si>
    <t xml:space="preserve">부문</t>
  </si>
  <si>
    <r>
      <rPr>
        <b val="true"/>
        <sz val="9"/>
        <color rgb="FFFFFFFF"/>
        <rFont val="Noto Sans CJK SC"/>
        <family val="2"/>
      </rPr>
      <t xml:space="preserve">선수</t>
    </r>
    <r>
      <rPr>
        <b val="true"/>
        <sz val="9"/>
        <color rgb="FFFFFFFF"/>
        <rFont val="Arial"/>
        <family val="0"/>
        <charset val="1"/>
      </rPr>
      <t xml:space="preserve">1 </t>
    </r>
    <r>
      <rPr>
        <b val="true"/>
        <sz val="9"/>
        <color rgb="FFFFFFFF"/>
        <rFont val="Noto Sans CJK SC"/>
        <family val="2"/>
      </rPr>
      <t xml:space="preserve">이름</t>
    </r>
  </si>
  <si>
    <t xml:space="preserve">나이</t>
  </si>
  <si>
    <t xml:space="preserve">영문명</t>
  </si>
  <si>
    <t xml:space="preserve">연락처</t>
  </si>
  <si>
    <t xml:space="preserve">이메일</t>
  </si>
  <si>
    <t xml:space="preserve">핸디</t>
  </si>
  <si>
    <r>
      <rPr>
        <b val="true"/>
        <sz val="9"/>
        <color rgb="FFFFFFFF"/>
        <rFont val="Noto Sans CJK SC"/>
        <family val="2"/>
      </rPr>
      <t xml:space="preserve">선수</t>
    </r>
    <r>
      <rPr>
        <b val="true"/>
        <sz val="9"/>
        <color rgb="FFFFFFFF"/>
        <rFont val="Arial"/>
        <family val="0"/>
        <charset val="1"/>
      </rPr>
      <t xml:space="preserve">2 </t>
    </r>
    <r>
      <rPr>
        <b val="true"/>
        <sz val="9"/>
        <color rgb="FFFFFFFF"/>
        <rFont val="Noto Sans CJK SC"/>
        <family val="2"/>
      </rPr>
      <t xml:space="preserve">이름</t>
    </r>
  </si>
  <si>
    <t xml:space="preserve">요청 사항</t>
  </si>
  <si>
    <t xml:space="preserve">스폰서</t>
  </si>
  <si>
    <t xml:space="preserve">참가비</t>
  </si>
  <si>
    <t xml:space="preserve">확정</t>
  </si>
  <si>
    <t xml:space="preserve">메모</t>
  </si>
  <si>
    <t xml:space="preserve">2026-09-01</t>
  </si>
  <si>
    <r>
      <rPr>
        <i val="true"/>
        <sz val="9"/>
        <color rgb="FF9AA8BE"/>
        <rFont val="Arial"/>
        <family val="0"/>
        <charset val="1"/>
      </rPr>
      <t xml:space="preserve">FL · </t>
    </r>
    <r>
      <rPr>
        <i val="true"/>
        <sz val="9"/>
        <color rgb="FF9AA8BE"/>
        <rFont val="Noto Sans CJK SC"/>
        <family val="2"/>
      </rPr>
      <t xml:space="preserve">플로리다</t>
    </r>
  </si>
  <si>
    <t xml:space="preserve">남성부</t>
  </si>
  <si>
    <t xml:space="preserve">홍길동</t>
  </si>
  <si>
    <t xml:space="preserve">Gil-dong Hong</t>
  </si>
  <si>
    <t xml:space="preserve">813-000-0000</t>
  </si>
  <si>
    <t xml:space="preserve">hong@email.com</t>
  </si>
  <si>
    <t xml:space="preserve">6 – 10</t>
  </si>
  <si>
    <t xml:space="preserve">김철수</t>
  </si>
  <si>
    <t xml:space="preserve">Chul-soo Kim</t>
  </si>
  <si>
    <t xml:space="preserve">201-000-0000</t>
  </si>
  <si>
    <t xml:space="preserve">kim@email.com</t>
  </si>
  <si>
    <t xml:space="preserve">11 – 15</t>
  </si>
  <si>
    <t xml:space="preserve">숙소 공유 희망</t>
  </si>
  <si>
    <t xml:space="preserve">N</t>
  </si>
  <si>
    <t xml:space="preserve">입금완료</t>
  </si>
  <si>
    <r>
      <rPr>
        <i val="true"/>
        <sz val="9"/>
        <color rgb="FF9AA8BE"/>
        <rFont val="Noto Sans CJK SC"/>
        <family val="2"/>
      </rPr>
      <t xml:space="preserve">← 예시 행 </t>
    </r>
    <r>
      <rPr>
        <i val="true"/>
        <sz val="9"/>
        <color rgb="FF9AA8BE"/>
        <rFont val="Arial"/>
        <family val="0"/>
        <charset val="1"/>
      </rPr>
      <t xml:space="preserve">(</t>
    </r>
    <r>
      <rPr>
        <i val="true"/>
        <sz val="9"/>
        <color rgb="FF9AA8BE"/>
        <rFont val="Noto Sans CJK SC"/>
        <family val="2"/>
      </rPr>
      <t xml:space="preserve">지우고 쓰세요</t>
    </r>
    <r>
      <rPr>
        <i val="true"/>
        <sz val="9"/>
        <color rgb="FF9AA8BE"/>
        <rFont val="Arial"/>
        <family val="0"/>
        <charset val="1"/>
      </rPr>
      <t xml:space="preserve">)</t>
    </r>
  </si>
  <si>
    <t xml:space="preserve">접수 현황</t>
  </si>
  <si>
    <r>
      <rPr>
        <sz val="9"/>
        <color rgb="FF5C6B7A"/>
        <rFont val="Arial"/>
        <family val="0"/>
        <charset val="1"/>
      </rPr>
      <t xml:space="preserve">"</t>
    </r>
    <r>
      <rPr>
        <sz val="9"/>
        <color rgb="FF5C6B7A"/>
        <rFont val="Noto Sans CJK SC"/>
        <family val="2"/>
      </rPr>
      <t xml:space="preserve">참가 명단</t>
    </r>
    <r>
      <rPr>
        <sz val="9"/>
        <color rgb="FF5C6B7A"/>
        <rFont val="Arial"/>
        <family val="0"/>
        <charset val="1"/>
      </rPr>
      <t xml:space="preserve">" </t>
    </r>
    <r>
      <rPr>
        <sz val="9"/>
        <color rgb="FF5C6B7A"/>
        <rFont val="Noto Sans CJK SC"/>
        <family val="2"/>
      </rPr>
      <t xml:space="preserve">시트에 입력하면 자동으로 계산됩니다</t>
    </r>
  </si>
  <si>
    <t xml:space="preserve">등록 팀 수</t>
  </si>
  <si>
    <t xml:space="preserve">부문별</t>
  </si>
  <si>
    <t xml:space="preserve">등록 인원</t>
  </si>
  <si>
    <t xml:space="preserve">잔여 팀</t>
  </si>
  <si>
    <t xml:space="preserve">여성부</t>
  </si>
  <si>
    <t xml:space="preserve">잔여 인원</t>
  </si>
  <si>
    <t xml:space="preserve">혼성부</t>
  </si>
  <si>
    <t xml:space="preserve">입금 완료 팀</t>
  </si>
  <si>
    <t xml:space="preserve">시니어부</t>
  </si>
  <si>
    <t xml:space="preserve">확정 팀</t>
  </si>
  <si>
    <t xml:space="preserve">스폰서 관심</t>
  </si>
  <si>
    <t xml:space="preserve">지역별</t>
  </si>
  <si>
    <r>
      <rPr>
        <sz val="10"/>
        <rFont val="Arial"/>
        <family val="0"/>
        <charset val="1"/>
      </rPr>
      <t xml:space="preserve">NY · </t>
    </r>
    <r>
      <rPr>
        <sz val="10"/>
        <rFont val="Noto Sans CJK SC"/>
        <family val="2"/>
      </rPr>
      <t xml:space="preserve">뉴욕</t>
    </r>
  </si>
  <si>
    <t xml:space="preserve">사용 방법</t>
  </si>
  <si>
    <r>
      <rPr>
        <sz val="10"/>
        <rFont val="Arial"/>
        <family val="0"/>
        <charset val="1"/>
      </rPr>
      <t xml:space="preserve">NJ · </t>
    </r>
    <r>
      <rPr>
        <sz val="10"/>
        <rFont val="Noto Sans CJK SC"/>
        <family val="2"/>
      </rPr>
      <t xml:space="preserve">뉴저지</t>
    </r>
  </si>
  <si>
    <r>
      <rPr>
        <sz val="9"/>
        <color rgb="FF1B2733"/>
        <rFont val="Arial"/>
        <family val="0"/>
        <charset val="1"/>
      </rPr>
      <t xml:space="preserve">1. </t>
    </r>
    <r>
      <rPr>
        <sz val="9"/>
        <color rgb="FF1B2733"/>
        <rFont val="Noto Sans CJK SC"/>
        <family val="2"/>
      </rPr>
      <t xml:space="preserve">신청 메일이 오면 </t>
    </r>
    <r>
      <rPr>
        <sz val="9"/>
        <color rgb="FF1B2733"/>
        <rFont val="Arial"/>
        <family val="0"/>
        <charset val="1"/>
      </rPr>
      <t xml:space="preserve">"</t>
    </r>
    <r>
      <rPr>
        <sz val="9"/>
        <color rgb="FF1B2733"/>
        <rFont val="Noto Sans CJK SC"/>
        <family val="2"/>
      </rPr>
      <t xml:space="preserve">참가 명단</t>
    </r>
    <r>
      <rPr>
        <sz val="9"/>
        <color rgb="FF1B2733"/>
        <rFont val="Arial"/>
        <family val="0"/>
        <charset val="1"/>
      </rPr>
      <t xml:space="preserve">" </t>
    </r>
    <r>
      <rPr>
        <sz val="9"/>
        <color rgb="FF1B2733"/>
        <rFont val="Noto Sans CJK SC"/>
        <family val="2"/>
      </rPr>
      <t xml:space="preserve">시트에 한 줄씩 옮겨 적습니다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</si>
  <si>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MD · </t>
    </r>
    <r>
      <rPr>
        <sz val="10"/>
        <rFont val="Noto Sans CJK SC"/>
        <family val="2"/>
      </rPr>
      <t xml:space="preserve">메릴랜드</t>
    </r>
  </si>
  <si>
    <r>
      <rPr>
        <sz val="9"/>
        <color rgb="FF1B2733"/>
        <rFont val="Arial"/>
        <family val="0"/>
        <charset val="1"/>
      </rPr>
      <t xml:space="preserve">2. 5</t>
    </r>
    <r>
      <rPr>
        <sz val="9"/>
        <color rgb="FF1B2733"/>
        <rFont val="Noto Sans CJK SC"/>
        <family val="2"/>
      </rPr>
      <t xml:space="preserve">행의 회색 예시는 지우고 </t>
    </r>
    <r>
      <rPr>
        <sz val="9"/>
        <color rgb="FF1B2733"/>
        <rFont val="Arial"/>
        <family val="0"/>
        <charset val="1"/>
      </rPr>
      <t xml:space="preserve">6</t>
    </r>
    <r>
      <rPr>
        <sz val="9"/>
        <color rgb="FF1B2733"/>
        <rFont val="Noto Sans CJK SC"/>
        <family val="2"/>
      </rPr>
      <t xml:space="preserve">행부터 쓰시면 됩니다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</si>
  <si>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VA · </t>
    </r>
    <r>
      <rPr>
        <sz val="10"/>
        <rFont val="Noto Sans CJK SC"/>
        <family val="2"/>
      </rPr>
      <t xml:space="preserve">버지니아</t>
    </r>
  </si>
  <si>
    <r>
      <rPr>
        <sz val="9"/>
        <color rgb="FF1B2733"/>
        <rFont val="Arial"/>
        <family val="0"/>
        <charset val="1"/>
      </rPr>
      <t xml:space="preserve">3. </t>
    </r>
    <r>
      <rPr>
        <sz val="9"/>
        <color rgb="FF1B2733"/>
        <rFont val="Noto Sans CJK SC"/>
        <family val="2"/>
      </rPr>
      <t xml:space="preserve">지역</t>
    </r>
    <r>
      <rPr>
        <sz val="9"/>
        <color rgb="FF1B2733"/>
        <rFont val="Arial"/>
        <family val="0"/>
        <charset val="1"/>
      </rPr>
      <t xml:space="preserve">·</t>
    </r>
    <r>
      <rPr>
        <sz val="9"/>
        <color rgb="FF1B2733"/>
        <rFont val="Noto Sans CJK SC"/>
        <family val="2"/>
      </rPr>
      <t xml:space="preserve">부문</t>
    </r>
    <r>
      <rPr>
        <sz val="9"/>
        <color rgb="FF1B2733"/>
        <rFont val="Arial"/>
        <family val="0"/>
        <charset val="1"/>
      </rPr>
      <t xml:space="preserve">·</t>
    </r>
    <r>
      <rPr>
        <sz val="9"/>
        <color rgb="FF1B2733"/>
        <rFont val="Noto Sans CJK SC"/>
        <family val="2"/>
      </rPr>
      <t xml:space="preserve">핸디</t>
    </r>
    <r>
      <rPr>
        <sz val="9"/>
        <color rgb="FF1B2733"/>
        <rFont val="Arial"/>
        <family val="0"/>
        <charset val="1"/>
      </rPr>
      <t xml:space="preserve">·</t>
    </r>
    <r>
      <rPr>
        <sz val="9"/>
        <color rgb="FF1B2733"/>
        <rFont val="Noto Sans CJK SC"/>
        <family val="2"/>
      </rPr>
      <t xml:space="preserve">참가비</t>
    </r>
    <r>
      <rPr>
        <sz val="9"/>
        <color rgb="FF1B2733"/>
        <rFont val="Arial"/>
        <family val="0"/>
        <charset val="1"/>
      </rPr>
      <t xml:space="preserve">·</t>
    </r>
    <r>
      <rPr>
        <sz val="9"/>
        <color rgb="FF1B2733"/>
        <rFont val="Noto Sans CJK SC"/>
        <family val="2"/>
      </rPr>
      <t xml:space="preserve">확정 칸은 목록에서 골라 넣습니다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</si>
  <si>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AL · </t>
    </r>
    <r>
      <rPr>
        <sz val="10"/>
        <rFont val="Noto Sans CJK SC"/>
        <family val="2"/>
      </rPr>
      <t xml:space="preserve">알라바마</t>
    </r>
  </si>
  <si>
    <r>
      <rPr>
        <sz val="9"/>
        <color rgb="FF1B2733"/>
        <rFont val="Arial"/>
        <family val="0"/>
        <charset val="1"/>
      </rPr>
      <t xml:space="preserve">4. </t>
    </r>
    <r>
      <rPr>
        <sz val="9"/>
        <color rgb="FF1B2733"/>
        <rFont val="Noto Sans CJK SC"/>
        <family val="2"/>
      </rPr>
      <t xml:space="preserve">참가비가 </t>
    </r>
    <r>
      <rPr>
        <sz val="9"/>
        <color rgb="FF1B2733"/>
        <rFont val="Arial"/>
        <family val="0"/>
        <charset val="1"/>
      </rPr>
      <t xml:space="preserve">"</t>
    </r>
    <r>
      <rPr>
        <sz val="9"/>
        <color rgb="FF1B2733"/>
        <rFont val="Noto Sans CJK SC"/>
        <family val="2"/>
      </rPr>
      <t xml:space="preserve">입금완료</t>
    </r>
    <r>
      <rPr>
        <sz val="9"/>
        <color rgb="FF1B2733"/>
        <rFont val="Arial"/>
        <family val="0"/>
        <charset val="1"/>
      </rPr>
      <t xml:space="preserve">"</t>
    </r>
    <r>
      <rPr>
        <sz val="9"/>
        <color rgb="FF1B2733"/>
        <rFont val="Noto Sans CJK SC"/>
        <family val="2"/>
      </rPr>
      <t xml:space="preserve">면 초록색</t>
    </r>
    <r>
      <rPr>
        <sz val="9"/>
        <color rgb="FF1B2733"/>
        <rFont val="Arial"/>
        <family val="0"/>
        <charset val="1"/>
      </rPr>
      <t xml:space="preserve">, "</t>
    </r>
    <r>
      <rPr>
        <sz val="9"/>
        <color rgb="FF1B2733"/>
        <rFont val="Noto Sans CJK SC"/>
        <family val="2"/>
      </rPr>
      <t xml:space="preserve">미납</t>
    </r>
    <r>
      <rPr>
        <sz val="9"/>
        <color rgb="FF1B2733"/>
        <rFont val="Arial"/>
        <family val="0"/>
        <charset val="1"/>
      </rPr>
      <t xml:space="preserve">"</t>
    </r>
    <r>
      <rPr>
        <sz val="9"/>
        <color rgb="FF1B2733"/>
        <rFont val="Noto Sans CJK SC"/>
        <family val="2"/>
      </rPr>
      <t xml:space="preserve">이면 붉은색으로 표시됩니다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</si>
  <si>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GA · </t>
    </r>
    <r>
      <rPr>
        <sz val="10"/>
        <rFont val="Noto Sans CJK SC"/>
        <family val="2"/>
      </rPr>
      <t xml:space="preserve">조지아</t>
    </r>
  </si>
  <si>
    <r>
      <rPr>
        <sz val="9"/>
        <color rgb="FF1B2733"/>
        <rFont val="Arial"/>
        <family val="0"/>
        <charset val="1"/>
      </rPr>
      <t xml:space="preserve">5. No. </t>
    </r>
    <r>
      <rPr>
        <sz val="9"/>
        <color rgb="FF1B2733"/>
        <rFont val="Noto Sans CJK SC"/>
        <family val="2"/>
      </rPr>
      <t xml:space="preserve">열과 이 시트의 숫자는 자동으로 계산되니 건드리지 마세요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</si>
  <si>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TX · </t>
    </r>
    <r>
      <rPr>
        <sz val="10"/>
        <rFont val="Noto Sans CJK SC"/>
        <family val="2"/>
      </rPr>
      <t xml:space="preserve">텍사스</t>
    </r>
  </si>
  <si>
    <r>
      <rPr>
        <sz val="9"/>
        <color rgb="FF1B2733"/>
        <rFont val="Arial"/>
        <family val="0"/>
        <charset val="1"/>
      </rPr>
      <t xml:space="preserve">6. 60</t>
    </r>
    <r>
      <rPr>
        <sz val="9"/>
        <color rgb="FF1B2733"/>
        <rFont val="Noto Sans CJK SC"/>
        <family val="2"/>
      </rPr>
      <t xml:space="preserve">팀까지 입력 가능합니다</t>
    </r>
    <r>
      <rPr>
        <sz val="9"/>
        <color rgb="FF1B2733"/>
        <rFont val="Arial"/>
        <family val="0"/>
        <charset val="1"/>
      </rPr>
      <t xml:space="preserve">. </t>
    </r>
    <r>
      <rPr>
        <sz val="9"/>
        <color rgb="FF1B2733"/>
        <rFont val="Noto Sans CJK SC"/>
        <family val="2"/>
      </rPr>
      <t xml:space="preserve">더 필요하면 알려주세요</t>
    </r>
    <r>
      <rPr>
        <sz val="9"/>
        <color rgb="FF1B2733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</si>
  <si>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FL · </t>
    </r>
    <r>
      <rPr>
        <sz val="10"/>
        <rFont val="Noto Sans CJK SC"/>
        <family val="2"/>
      </rPr>
      <t xml:space="preserve">플로리다</t>
    </r>
  </si>
  <si>
    <r>
      <rPr>
        <sz val="10"/>
        <rFont val="Arial"/>
        <family val="0"/>
        <charset val="1"/>
      </rPr>
      <t xml:space="preserve">MN · </t>
    </r>
    <r>
      <rPr>
        <sz val="10"/>
        <rFont val="Noto Sans CJK SC"/>
        <family val="2"/>
      </rPr>
      <t xml:space="preserve">미네소타</t>
    </r>
  </si>
  <si>
    <r>
      <rPr>
        <sz val="10"/>
        <rFont val="Arial"/>
        <family val="0"/>
        <charset val="1"/>
      </rPr>
      <t xml:space="preserve">KR · </t>
    </r>
    <r>
      <rPr>
        <sz val="10"/>
        <rFont val="Noto Sans CJK SC"/>
        <family val="2"/>
      </rPr>
      <t xml:space="preserve">한국</t>
    </r>
  </si>
  <si>
    <t xml:space="preserve">기타 지역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</si>
</sst>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D2240"/>
      <name val="Arial"/>
      <family val="0"/>
      <charset val="1"/>
    </font>
    <font>
      <b val="true"/>
      <sz val="15"/>
      <color rgb="FF0D2240"/>
      <name val="Noto Sans CJK SC"/>
      <family val="2"/>
    </font>
    <font>
      <sz val="9"/>
      <color rgb="FF5C6B7A"/>
      <name val="Arial"/>
      <family val="0"/>
      <charset val="1"/>
    </font>
    <font>
      <sz val="9"/>
      <color rgb="FF5C6B7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i val="true"/>
      <sz val="9"/>
      <color rgb="FF9AA8BE"/>
      <name val="Arial"/>
      <family val="0"/>
      <charset val="1"/>
    </font>
    <font>
      <i val="true"/>
      <sz val="9"/>
      <color rgb="FF9AA8BE"/>
      <name val="Noto Sans CJK SC"/>
      <family val="2"/>
    </font>
    <font>
      <sz val="9"/>
      <name val="Arial"/>
      <family val="0"/>
      <charset val="1"/>
    </font>
    <font>
      <b val="true"/>
      <sz val="10"/>
      <color rgb="FF0D2240"/>
      <name val="Noto Sans CJK SC"/>
      <family val="2"/>
    </font>
    <font>
      <b val="true"/>
      <sz val="12"/>
      <name val="Arial"/>
      <family val="0"/>
      <charset val="1"/>
    </font>
    <font>
      <b val="true"/>
      <sz val="10"/>
      <color rgb="FF8A6A16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0D2240"/>
      <name val="Noto Sans CJK SC"/>
      <family val="2"/>
    </font>
    <font>
      <sz val="9"/>
      <color rgb="FF1B2733"/>
      <name val="Arial"/>
      <family val="0"/>
      <charset val="1"/>
    </font>
    <font>
      <sz val="9"/>
      <color rgb="FF1B2733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8A6A16"/>
        <bgColor rgb="FF808080"/>
      </patternFill>
    </fill>
    <fill>
      <patternFill patternType="solid">
        <fgColor rgb="FF0D2240"/>
        <bgColor rgb="FF1B2733"/>
      </patternFill>
    </fill>
    <fill>
      <patternFill patternType="solid">
        <fgColor rgb="FFFFFFFF"/>
        <bgColor rgb="FFFFFDF0"/>
      </patternFill>
    </fill>
    <fill>
      <patternFill patternType="solid">
        <fgColor rgb="FFFFFDF0"/>
        <bgColor rgb="FFFFFFFF"/>
      </patternFill>
    </fill>
    <fill>
      <patternFill patternType="solid">
        <fgColor rgb="FFEEF1F5"/>
        <bgColor rgb="FFFFFD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D22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C6B7A"/>
          <bgColor rgb="FF000000"/>
        </patternFill>
      </fill>
    </dxf>
    <dxf>
      <fill>
        <patternFill patternType="solid">
          <fgColor rgb="FF9AA8B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>
          <bgColor rgb="FFD7F0E2"/>
        </patternFill>
      </fill>
    </dxf>
    <dxf>
      <fill>
        <patternFill>
          <bgColor rgb="FFFBE3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16"/>
      <rgbColor rgb="FF800080"/>
      <rgbColor rgb="FF008080"/>
      <rgbColor rgb="FFC0C0C0"/>
      <rgbColor rgb="FF808080"/>
      <rgbColor rgb="FF9999FF"/>
      <rgbColor rgb="FF993366"/>
      <rgbColor rgb="FFFFFDF0"/>
      <rgbColor rgb="FFEEF1F5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E2"/>
      <rgbColor rgb="FFFFFF99"/>
      <rgbColor rgb="FF99CCFF"/>
      <rgbColor rgb="FFFF99CC"/>
      <rgbColor rgb="FFCC99FF"/>
      <rgbColor rgb="FFFBE3DE"/>
      <rgbColor rgb="FF3366FF"/>
      <rgbColor rgb="FF33CCCC"/>
      <rgbColor rgb="FF99CC00"/>
      <rgbColor rgb="FFFFCC00"/>
      <rgbColor rgb="FFFF9900"/>
      <rgbColor rgb="FFFF6600"/>
      <rgbColor rgb="FF5C6B7A"/>
      <rgbColor rgb="FF9AA8BE"/>
      <rgbColor rgb="FF0D2240"/>
      <rgbColor rgb="FF339966"/>
      <rgbColor rgb="FF003300"/>
      <rgbColor rgb="FF333300"/>
      <rgbColor rgb="FF993300"/>
      <rgbColor rgb="FF993366"/>
      <rgbColor rgb="FF333399"/>
      <rgbColor rgb="FF1B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22"/>
  </cols>
  <sheetData>
    <row r="1" customFormat="false" ht="23.1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E3" s="3" t="s">
        <v>2</v>
      </c>
      <c r="F3" s="3"/>
      <c r="G3" s="3"/>
      <c r="H3" s="3"/>
      <c r="I3" s="3"/>
      <c r="J3" s="3"/>
      <c r="K3" s="3" t="s">
        <v>3</v>
      </c>
      <c r="L3" s="3"/>
      <c r="M3" s="3"/>
      <c r="N3" s="3"/>
      <c r="O3" s="3"/>
      <c r="P3" s="3"/>
    </row>
    <row r="4" customFormat="false" ht="30" hidden="false" customHeight="true" outlineLevel="0" collapsed="false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</row>
    <row r="5" customFormat="false" ht="19.5" hidden="false" customHeight="true" outlineLevel="0" collapsed="false">
      <c r="A5" s="6" t="n">
        <v>1</v>
      </c>
      <c r="B5" s="7" t="s">
        <v>20</v>
      </c>
      <c r="C5" s="8" t="s">
        <v>21</v>
      </c>
      <c r="D5" s="9" t="s">
        <v>22</v>
      </c>
      <c r="E5" s="9" t="s">
        <v>23</v>
      </c>
      <c r="F5" s="10" t="n">
        <v>55</v>
      </c>
      <c r="G5" s="8" t="s">
        <v>24</v>
      </c>
      <c r="H5" s="8" t="s">
        <v>25</v>
      </c>
      <c r="I5" s="8" t="s">
        <v>26</v>
      </c>
      <c r="J5" s="8" t="s">
        <v>27</v>
      </c>
      <c r="K5" s="9" t="s">
        <v>28</v>
      </c>
      <c r="L5" s="10" t="n">
        <v>48</v>
      </c>
      <c r="M5" s="8" t="s">
        <v>29</v>
      </c>
      <c r="N5" s="8" t="s">
        <v>30</v>
      </c>
      <c r="O5" s="8" t="s">
        <v>31</v>
      </c>
      <c r="P5" s="8" t="s">
        <v>32</v>
      </c>
      <c r="Q5" s="11" t="s">
        <v>33</v>
      </c>
      <c r="R5" s="10" t="s">
        <v>34</v>
      </c>
      <c r="S5" s="12" t="s">
        <v>35</v>
      </c>
      <c r="T5" s="12" t="s">
        <v>18</v>
      </c>
      <c r="U5" s="11" t="s">
        <v>36</v>
      </c>
    </row>
    <row r="6" customFormat="false" ht="19.5" hidden="false" customHeight="true" outlineLevel="0" collapsed="false">
      <c r="A6" s="13" t="str">
        <f aca="false">IF(E6="","",COUNTA($E$6:$E6)+1)</f>
        <v/>
      </c>
      <c r="B6" s="14"/>
      <c r="C6" s="15"/>
      <c r="D6" s="15"/>
      <c r="E6" s="15"/>
      <c r="F6" s="16"/>
      <c r="G6" s="15"/>
      <c r="H6" s="15"/>
      <c r="I6" s="15"/>
      <c r="J6" s="15"/>
      <c r="K6" s="15"/>
      <c r="L6" s="16"/>
      <c r="M6" s="15"/>
      <c r="N6" s="15"/>
      <c r="O6" s="15"/>
      <c r="P6" s="15"/>
      <c r="Q6" s="17"/>
      <c r="R6" s="16"/>
      <c r="S6" s="16"/>
      <c r="T6" s="16"/>
      <c r="U6" s="17"/>
    </row>
    <row r="7" customFormat="false" ht="19.5" hidden="false" customHeight="true" outlineLevel="0" collapsed="false">
      <c r="A7" s="13" t="str">
        <f aca="false">IF(E7="","",COUNTA($E$6:$E7)+1)</f>
        <v/>
      </c>
      <c r="B7" s="14"/>
      <c r="C7" s="15"/>
      <c r="D7" s="15"/>
      <c r="E7" s="15"/>
      <c r="F7" s="16"/>
      <c r="G7" s="15"/>
      <c r="H7" s="15"/>
      <c r="I7" s="15"/>
      <c r="J7" s="15"/>
      <c r="K7" s="15"/>
      <c r="L7" s="16"/>
      <c r="M7" s="15"/>
      <c r="N7" s="15"/>
      <c r="O7" s="15"/>
      <c r="P7" s="15"/>
      <c r="Q7" s="17"/>
      <c r="R7" s="16"/>
      <c r="S7" s="16"/>
      <c r="T7" s="16"/>
      <c r="U7" s="17"/>
    </row>
    <row r="8" customFormat="false" ht="19.5" hidden="false" customHeight="true" outlineLevel="0" collapsed="false">
      <c r="A8" s="13" t="str">
        <f aca="false">IF(E8="","",COUNTA($E$6:$E8)+1)</f>
        <v/>
      </c>
      <c r="B8" s="14"/>
      <c r="C8" s="15"/>
      <c r="D8" s="15"/>
      <c r="E8" s="15"/>
      <c r="F8" s="16"/>
      <c r="G8" s="15"/>
      <c r="H8" s="15"/>
      <c r="I8" s="15"/>
      <c r="J8" s="15"/>
      <c r="K8" s="15"/>
      <c r="L8" s="16"/>
      <c r="M8" s="15"/>
      <c r="N8" s="15"/>
      <c r="O8" s="15"/>
      <c r="P8" s="15"/>
      <c r="Q8" s="17"/>
      <c r="R8" s="16"/>
      <c r="S8" s="16"/>
      <c r="T8" s="16"/>
      <c r="U8" s="17"/>
    </row>
    <row r="9" customFormat="false" ht="19.5" hidden="false" customHeight="true" outlineLevel="0" collapsed="false">
      <c r="A9" s="13" t="str">
        <f aca="false">IF(E9="","",COUNTA($E$6:$E9)+1)</f>
        <v/>
      </c>
      <c r="B9" s="14"/>
      <c r="C9" s="15"/>
      <c r="D9" s="15"/>
      <c r="E9" s="15"/>
      <c r="F9" s="16"/>
      <c r="G9" s="15"/>
      <c r="H9" s="15"/>
      <c r="I9" s="15"/>
      <c r="J9" s="15"/>
      <c r="K9" s="15"/>
      <c r="L9" s="16"/>
      <c r="M9" s="15"/>
      <c r="N9" s="15"/>
      <c r="O9" s="15"/>
      <c r="P9" s="15"/>
      <c r="Q9" s="17"/>
      <c r="R9" s="16"/>
      <c r="S9" s="16"/>
      <c r="T9" s="16"/>
      <c r="U9" s="17"/>
    </row>
    <row r="10" customFormat="false" ht="19.5" hidden="false" customHeight="true" outlineLevel="0" collapsed="false">
      <c r="A10" s="13" t="str">
        <f aca="false">IF(E10="","",COUNTA($E$6:$E10)+1)</f>
        <v/>
      </c>
      <c r="B10" s="14"/>
      <c r="C10" s="15"/>
      <c r="D10" s="15"/>
      <c r="E10" s="15"/>
      <c r="F10" s="16"/>
      <c r="G10" s="15"/>
      <c r="H10" s="15"/>
      <c r="I10" s="15"/>
      <c r="J10" s="15"/>
      <c r="K10" s="15"/>
      <c r="L10" s="16"/>
      <c r="M10" s="15"/>
      <c r="N10" s="15"/>
      <c r="O10" s="15"/>
      <c r="P10" s="15"/>
      <c r="Q10" s="17"/>
      <c r="R10" s="16"/>
      <c r="S10" s="16"/>
      <c r="T10" s="16"/>
      <c r="U10" s="17"/>
    </row>
    <row r="11" customFormat="false" ht="19.5" hidden="false" customHeight="true" outlineLevel="0" collapsed="false">
      <c r="A11" s="13" t="str">
        <f aca="false">IF(E11="","",COUNTA($E$6:$E11)+1)</f>
        <v/>
      </c>
      <c r="B11" s="14"/>
      <c r="C11" s="15"/>
      <c r="D11" s="15"/>
      <c r="E11" s="15"/>
      <c r="F11" s="16"/>
      <c r="G11" s="15"/>
      <c r="H11" s="15"/>
      <c r="I11" s="15"/>
      <c r="J11" s="15"/>
      <c r="K11" s="15"/>
      <c r="L11" s="16"/>
      <c r="M11" s="15"/>
      <c r="N11" s="15"/>
      <c r="O11" s="15"/>
      <c r="P11" s="15"/>
      <c r="Q11" s="17"/>
      <c r="R11" s="16"/>
      <c r="S11" s="16"/>
      <c r="T11" s="16"/>
      <c r="U11" s="17"/>
    </row>
    <row r="12" customFormat="false" ht="19.5" hidden="false" customHeight="true" outlineLevel="0" collapsed="false">
      <c r="A12" s="13" t="str">
        <f aca="false">IF(E12="","",COUNTA($E$6:$E12)+1)</f>
        <v/>
      </c>
      <c r="B12" s="14"/>
      <c r="C12" s="15"/>
      <c r="D12" s="15"/>
      <c r="E12" s="15"/>
      <c r="F12" s="16"/>
      <c r="G12" s="15"/>
      <c r="H12" s="15"/>
      <c r="I12" s="15"/>
      <c r="J12" s="15"/>
      <c r="K12" s="15"/>
      <c r="L12" s="16"/>
      <c r="M12" s="15"/>
      <c r="N12" s="15"/>
      <c r="O12" s="15"/>
      <c r="P12" s="15"/>
      <c r="Q12" s="17"/>
      <c r="R12" s="16"/>
      <c r="S12" s="16"/>
      <c r="T12" s="16"/>
      <c r="U12" s="17"/>
    </row>
    <row r="13" customFormat="false" ht="19.5" hidden="false" customHeight="true" outlineLevel="0" collapsed="false">
      <c r="A13" s="13" t="str">
        <f aca="false">IF(E13="","",COUNTA($E$6:$E13)+1)</f>
        <v/>
      </c>
      <c r="B13" s="14"/>
      <c r="C13" s="15"/>
      <c r="D13" s="15"/>
      <c r="E13" s="15"/>
      <c r="F13" s="16"/>
      <c r="G13" s="15"/>
      <c r="H13" s="15"/>
      <c r="I13" s="15"/>
      <c r="J13" s="15"/>
      <c r="K13" s="15"/>
      <c r="L13" s="16"/>
      <c r="M13" s="15"/>
      <c r="N13" s="15"/>
      <c r="O13" s="15"/>
      <c r="P13" s="15"/>
      <c r="Q13" s="17"/>
      <c r="R13" s="16"/>
      <c r="S13" s="16"/>
      <c r="T13" s="16"/>
      <c r="U13" s="17"/>
    </row>
    <row r="14" customFormat="false" ht="19.5" hidden="false" customHeight="true" outlineLevel="0" collapsed="false">
      <c r="A14" s="13" t="str">
        <f aca="false">IF(E14="","",COUNTA($E$6:$E14)+1)</f>
        <v/>
      </c>
      <c r="B14" s="14"/>
      <c r="C14" s="15"/>
      <c r="D14" s="15"/>
      <c r="E14" s="15"/>
      <c r="F14" s="16"/>
      <c r="G14" s="15"/>
      <c r="H14" s="15"/>
      <c r="I14" s="15"/>
      <c r="J14" s="15"/>
      <c r="K14" s="15"/>
      <c r="L14" s="16"/>
      <c r="M14" s="15"/>
      <c r="N14" s="15"/>
      <c r="O14" s="15"/>
      <c r="P14" s="15"/>
      <c r="Q14" s="17"/>
      <c r="R14" s="16"/>
      <c r="S14" s="16"/>
      <c r="T14" s="16"/>
      <c r="U14" s="17"/>
    </row>
    <row r="15" customFormat="false" ht="19.5" hidden="false" customHeight="true" outlineLevel="0" collapsed="false">
      <c r="A15" s="13" t="str">
        <f aca="false">IF(E15="","",COUNTA($E$6:$E15)+1)</f>
        <v/>
      </c>
      <c r="B15" s="14"/>
      <c r="C15" s="15"/>
      <c r="D15" s="15"/>
      <c r="E15" s="15"/>
      <c r="F15" s="16"/>
      <c r="G15" s="15"/>
      <c r="H15" s="15"/>
      <c r="I15" s="15"/>
      <c r="J15" s="15"/>
      <c r="K15" s="15"/>
      <c r="L15" s="16"/>
      <c r="M15" s="15"/>
      <c r="N15" s="15"/>
      <c r="O15" s="15"/>
      <c r="P15" s="15"/>
      <c r="Q15" s="17"/>
      <c r="R15" s="16"/>
      <c r="S15" s="16"/>
      <c r="T15" s="16"/>
      <c r="U15" s="17"/>
    </row>
    <row r="16" customFormat="false" ht="19.5" hidden="false" customHeight="true" outlineLevel="0" collapsed="false">
      <c r="A16" s="13" t="str">
        <f aca="false">IF(E16="","",COUNTA($E$6:$E16)+1)</f>
        <v/>
      </c>
      <c r="B16" s="14"/>
      <c r="C16" s="15"/>
      <c r="D16" s="15"/>
      <c r="E16" s="15"/>
      <c r="F16" s="16"/>
      <c r="G16" s="15"/>
      <c r="H16" s="15"/>
      <c r="I16" s="15"/>
      <c r="J16" s="15"/>
      <c r="K16" s="15"/>
      <c r="L16" s="16"/>
      <c r="M16" s="15"/>
      <c r="N16" s="15"/>
      <c r="O16" s="15"/>
      <c r="P16" s="15"/>
      <c r="Q16" s="17"/>
      <c r="R16" s="16"/>
      <c r="S16" s="16"/>
      <c r="T16" s="16"/>
      <c r="U16" s="17"/>
    </row>
    <row r="17" customFormat="false" ht="19.5" hidden="false" customHeight="true" outlineLevel="0" collapsed="false">
      <c r="A17" s="13" t="str">
        <f aca="false">IF(E17="","",COUNTA($E$6:$E17)+1)</f>
        <v/>
      </c>
      <c r="B17" s="14"/>
      <c r="C17" s="15"/>
      <c r="D17" s="15"/>
      <c r="E17" s="15"/>
      <c r="F17" s="16"/>
      <c r="G17" s="15"/>
      <c r="H17" s="15"/>
      <c r="I17" s="15"/>
      <c r="J17" s="15"/>
      <c r="K17" s="15"/>
      <c r="L17" s="16"/>
      <c r="M17" s="15"/>
      <c r="N17" s="15"/>
      <c r="O17" s="15"/>
      <c r="P17" s="15"/>
      <c r="Q17" s="17"/>
      <c r="R17" s="16"/>
      <c r="S17" s="16"/>
      <c r="T17" s="16"/>
      <c r="U17" s="17"/>
    </row>
    <row r="18" customFormat="false" ht="19.5" hidden="false" customHeight="true" outlineLevel="0" collapsed="false">
      <c r="A18" s="13" t="str">
        <f aca="false">IF(E18="","",COUNTA($E$6:$E18)+1)</f>
        <v/>
      </c>
      <c r="B18" s="14"/>
      <c r="C18" s="15"/>
      <c r="D18" s="15"/>
      <c r="E18" s="15"/>
      <c r="F18" s="16"/>
      <c r="G18" s="15"/>
      <c r="H18" s="15"/>
      <c r="I18" s="15"/>
      <c r="J18" s="15"/>
      <c r="K18" s="15"/>
      <c r="L18" s="16"/>
      <c r="M18" s="15"/>
      <c r="N18" s="15"/>
      <c r="O18" s="15"/>
      <c r="P18" s="15"/>
      <c r="Q18" s="17"/>
      <c r="R18" s="16"/>
      <c r="S18" s="16"/>
      <c r="T18" s="16"/>
      <c r="U18" s="17"/>
    </row>
    <row r="19" customFormat="false" ht="19.5" hidden="false" customHeight="true" outlineLevel="0" collapsed="false">
      <c r="A19" s="13" t="str">
        <f aca="false">IF(E19="","",COUNTA($E$6:$E19)+1)</f>
        <v/>
      </c>
      <c r="B19" s="14"/>
      <c r="C19" s="15"/>
      <c r="D19" s="15"/>
      <c r="E19" s="15"/>
      <c r="F19" s="16"/>
      <c r="G19" s="15"/>
      <c r="H19" s="15"/>
      <c r="I19" s="15"/>
      <c r="J19" s="15"/>
      <c r="K19" s="15"/>
      <c r="L19" s="16"/>
      <c r="M19" s="15"/>
      <c r="N19" s="15"/>
      <c r="O19" s="15"/>
      <c r="P19" s="15"/>
      <c r="Q19" s="17"/>
      <c r="R19" s="16"/>
      <c r="S19" s="16"/>
      <c r="T19" s="16"/>
      <c r="U19" s="17"/>
    </row>
    <row r="20" customFormat="false" ht="19.5" hidden="false" customHeight="true" outlineLevel="0" collapsed="false">
      <c r="A20" s="13" t="str">
        <f aca="false">IF(E20="","",COUNTA($E$6:$E20)+1)</f>
        <v/>
      </c>
      <c r="B20" s="14"/>
      <c r="C20" s="15"/>
      <c r="D20" s="15"/>
      <c r="E20" s="15"/>
      <c r="F20" s="16"/>
      <c r="G20" s="15"/>
      <c r="H20" s="15"/>
      <c r="I20" s="15"/>
      <c r="J20" s="15"/>
      <c r="K20" s="15"/>
      <c r="L20" s="16"/>
      <c r="M20" s="15"/>
      <c r="N20" s="15"/>
      <c r="O20" s="15"/>
      <c r="P20" s="15"/>
      <c r="Q20" s="17"/>
      <c r="R20" s="16"/>
      <c r="S20" s="16"/>
      <c r="T20" s="16"/>
      <c r="U20" s="17"/>
    </row>
    <row r="21" customFormat="false" ht="19.5" hidden="false" customHeight="true" outlineLevel="0" collapsed="false">
      <c r="A21" s="13" t="str">
        <f aca="false">IF(E21="","",COUNTA($E$6:$E21)+1)</f>
        <v/>
      </c>
      <c r="B21" s="14"/>
      <c r="C21" s="15"/>
      <c r="D21" s="15"/>
      <c r="E21" s="15"/>
      <c r="F21" s="16"/>
      <c r="G21" s="15"/>
      <c r="H21" s="15"/>
      <c r="I21" s="15"/>
      <c r="J21" s="15"/>
      <c r="K21" s="15"/>
      <c r="L21" s="16"/>
      <c r="M21" s="15"/>
      <c r="N21" s="15"/>
      <c r="O21" s="15"/>
      <c r="P21" s="15"/>
      <c r="Q21" s="17"/>
      <c r="R21" s="16"/>
      <c r="S21" s="16"/>
      <c r="T21" s="16"/>
      <c r="U21" s="17"/>
    </row>
    <row r="22" customFormat="false" ht="19.5" hidden="false" customHeight="true" outlineLevel="0" collapsed="false">
      <c r="A22" s="13" t="str">
        <f aca="false">IF(E22="","",COUNTA($E$6:$E22)+1)</f>
        <v/>
      </c>
      <c r="B22" s="14"/>
      <c r="C22" s="15"/>
      <c r="D22" s="15"/>
      <c r="E22" s="15"/>
      <c r="F22" s="16"/>
      <c r="G22" s="15"/>
      <c r="H22" s="15"/>
      <c r="I22" s="15"/>
      <c r="J22" s="15"/>
      <c r="K22" s="15"/>
      <c r="L22" s="16"/>
      <c r="M22" s="15"/>
      <c r="N22" s="15"/>
      <c r="O22" s="15"/>
      <c r="P22" s="15"/>
      <c r="Q22" s="17"/>
      <c r="R22" s="16"/>
      <c r="S22" s="16"/>
      <c r="T22" s="16"/>
      <c r="U22" s="17"/>
    </row>
    <row r="23" customFormat="false" ht="19.5" hidden="false" customHeight="true" outlineLevel="0" collapsed="false">
      <c r="A23" s="13" t="str">
        <f aca="false">IF(E23="","",COUNTA($E$6:$E23)+1)</f>
        <v/>
      </c>
      <c r="B23" s="14"/>
      <c r="C23" s="15"/>
      <c r="D23" s="15"/>
      <c r="E23" s="15"/>
      <c r="F23" s="16"/>
      <c r="G23" s="15"/>
      <c r="H23" s="15"/>
      <c r="I23" s="15"/>
      <c r="J23" s="15"/>
      <c r="K23" s="15"/>
      <c r="L23" s="16"/>
      <c r="M23" s="15"/>
      <c r="N23" s="15"/>
      <c r="O23" s="15"/>
      <c r="P23" s="15"/>
      <c r="Q23" s="17"/>
      <c r="R23" s="16"/>
      <c r="S23" s="16"/>
      <c r="T23" s="16"/>
      <c r="U23" s="17"/>
    </row>
    <row r="24" customFormat="false" ht="19.5" hidden="false" customHeight="true" outlineLevel="0" collapsed="false">
      <c r="A24" s="13" t="str">
        <f aca="false">IF(E24="","",COUNTA($E$6:$E24)+1)</f>
        <v/>
      </c>
      <c r="B24" s="14"/>
      <c r="C24" s="15"/>
      <c r="D24" s="15"/>
      <c r="E24" s="15"/>
      <c r="F24" s="16"/>
      <c r="G24" s="15"/>
      <c r="H24" s="15"/>
      <c r="I24" s="15"/>
      <c r="J24" s="15"/>
      <c r="K24" s="15"/>
      <c r="L24" s="16"/>
      <c r="M24" s="15"/>
      <c r="N24" s="15"/>
      <c r="O24" s="15"/>
      <c r="P24" s="15"/>
      <c r="Q24" s="17"/>
      <c r="R24" s="16"/>
      <c r="S24" s="16"/>
      <c r="T24" s="16"/>
      <c r="U24" s="17"/>
    </row>
    <row r="25" customFormat="false" ht="19.5" hidden="false" customHeight="true" outlineLevel="0" collapsed="false">
      <c r="A25" s="13" t="str">
        <f aca="false">IF(E25="","",COUNTA($E$6:$E25)+1)</f>
        <v/>
      </c>
      <c r="B25" s="14"/>
      <c r="C25" s="15"/>
      <c r="D25" s="15"/>
      <c r="E25" s="15"/>
      <c r="F25" s="16"/>
      <c r="G25" s="15"/>
      <c r="H25" s="15"/>
      <c r="I25" s="15"/>
      <c r="J25" s="15"/>
      <c r="K25" s="15"/>
      <c r="L25" s="16"/>
      <c r="M25" s="15"/>
      <c r="N25" s="15"/>
      <c r="O25" s="15"/>
      <c r="P25" s="15"/>
      <c r="Q25" s="17"/>
      <c r="R25" s="16"/>
      <c r="S25" s="16"/>
      <c r="T25" s="16"/>
      <c r="U25" s="17"/>
    </row>
    <row r="26" customFormat="false" ht="19.5" hidden="false" customHeight="true" outlineLevel="0" collapsed="false">
      <c r="A26" s="13" t="str">
        <f aca="false">IF(E26="","",COUNTA($E$6:$E26)+1)</f>
        <v/>
      </c>
      <c r="B26" s="14"/>
      <c r="C26" s="15"/>
      <c r="D26" s="15"/>
      <c r="E26" s="15"/>
      <c r="F26" s="16"/>
      <c r="G26" s="15"/>
      <c r="H26" s="15"/>
      <c r="I26" s="15"/>
      <c r="J26" s="15"/>
      <c r="K26" s="15"/>
      <c r="L26" s="16"/>
      <c r="M26" s="15"/>
      <c r="N26" s="15"/>
      <c r="O26" s="15"/>
      <c r="P26" s="15"/>
      <c r="Q26" s="17"/>
      <c r="R26" s="16"/>
      <c r="S26" s="16"/>
      <c r="T26" s="16"/>
      <c r="U26" s="17"/>
    </row>
    <row r="27" customFormat="false" ht="19.5" hidden="false" customHeight="true" outlineLevel="0" collapsed="false">
      <c r="A27" s="13" t="str">
        <f aca="false">IF(E27="","",COUNTA($E$6:$E27)+1)</f>
        <v/>
      </c>
      <c r="B27" s="14"/>
      <c r="C27" s="15"/>
      <c r="D27" s="15"/>
      <c r="E27" s="15"/>
      <c r="F27" s="16"/>
      <c r="G27" s="15"/>
      <c r="H27" s="15"/>
      <c r="I27" s="15"/>
      <c r="J27" s="15"/>
      <c r="K27" s="15"/>
      <c r="L27" s="16"/>
      <c r="M27" s="15"/>
      <c r="N27" s="15"/>
      <c r="O27" s="15"/>
      <c r="P27" s="15"/>
      <c r="Q27" s="17"/>
      <c r="R27" s="16"/>
      <c r="S27" s="16"/>
      <c r="T27" s="16"/>
      <c r="U27" s="17"/>
    </row>
    <row r="28" customFormat="false" ht="19.5" hidden="false" customHeight="true" outlineLevel="0" collapsed="false">
      <c r="A28" s="13" t="str">
        <f aca="false">IF(E28="","",COUNTA($E$6:$E28)+1)</f>
        <v/>
      </c>
      <c r="B28" s="14"/>
      <c r="C28" s="15"/>
      <c r="D28" s="15"/>
      <c r="E28" s="15"/>
      <c r="F28" s="16"/>
      <c r="G28" s="15"/>
      <c r="H28" s="15"/>
      <c r="I28" s="15"/>
      <c r="J28" s="15"/>
      <c r="K28" s="15"/>
      <c r="L28" s="16"/>
      <c r="M28" s="15"/>
      <c r="N28" s="15"/>
      <c r="O28" s="15"/>
      <c r="P28" s="15"/>
      <c r="Q28" s="17"/>
      <c r="R28" s="16"/>
      <c r="S28" s="16"/>
      <c r="T28" s="16"/>
      <c r="U28" s="17"/>
    </row>
    <row r="29" customFormat="false" ht="19.5" hidden="false" customHeight="true" outlineLevel="0" collapsed="false">
      <c r="A29" s="13" t="str">
        <f aca="false">IF(E29="","",COUNTA($E$6:$E29)+1)</f>
        <v/>
      </c>
      <c r="B29" s="14"/>
      <c r="C29" s="15"/>
      <c r="D29" s="15"/>
      <c r="E29" s="15"/>
      <c r="F29" s="16"/>
      <c r="G29" s="15"/>
      <c r="H29" s="15"/>
      <c r="I29" s="15"/>
      <c r="J29" s="15"/>
      <c r="K29" s="15"/>
      <c r="L29" s="16"/>
      <c r="M29" s="15"/>
      <c r="N29" s="15"/>
      <c r="O29" s="15"/>
      <c r="P29" s="15"/>
      <c r="Q29" s="17"/>
      <c r="R29" s="16"/>
      <c r="S29" s="16"/>
      <c r="T29" s="16"/>
      <c r="U29" s="17"/>
    </row>
    <row r="30" customFormat="false" ht="19.5" hidden="false" customHeight="true" outlineLevel="0" collapsed="false">
      <c r="A30" s="13" t="str">
        <f aca="false">IF(E30="","",COUNTA($E$6:$E30)+1)</f>
        <v/>
      </c>
      <c r="B30" s="14"/>
      <c r="C30" s="15"/>
      <c r="D30" s="15"/>
      <c r="E30" s="15"/>
      <c r="F30" s="16"/>
      <c r="G30" s="15"/>
      <c r="H30" s="15"/>
      <c r="I30" s="15"/>
      <c r="J30" s="15"/>
      <c r="K30" s="15"/>
      <c r="L30" s="16"/>
      <c r="M30" s="15"/>
      <c r="N30" s="15"/>
      <c r="O30" s="15"/>
      <c r="P30" s="15"/>
      <c r="Q30" s="17"/>
      <c r="R30" s="16"/>
      <c r="S30" s="16"/>
      <c r="T30" s="16"/>
      <c r="U30" s="17"/>
    </row>
    <row r="31" customFormat="false" ht="19.5" hidden="false" customHeight="true" outlineLevel="0" collapsed="false">
      <c r="A31" s="13" t="str">
        <f aca="false">IF(E31="","",COUNTA($E$6:$E31)+1)</f>
        <v/>
      </c>
      <c r="B31" s="14"/>
      <c r="C31" s="15"/>
      <c r="D31" s="15"/>
      <c r="E31" s="15"/>
      <c r="F31" s="16"/>
      <c r="G31" s="15"/>
      <c r="H31" s="15"/>
      <c r="I31" s="15"/>
      <c r="J31" s="15"/>
      <c r="K31" s="15"/>
      <c r="L31" s="16"/>
      <c r="M31" s="15"/>
      <c r="N31" s="15"/>
      <c r="O31" s="15"/>
      <c r="P31" s="15"/>
      <c r="Q31" s="17"/>
      <c r="R31" s="16"/>
      <c r="S31" s="16"/>
      <c r="T31" s="16"/>
      <c r="U31" s="17"/>
    </row>
    <row r="32" customFormat="false" ht="19.5" hidden="false" customHeight="true" outlineLevel="0" collapsed="false">
      <c r="A32" s="13" t="str">
        <f aca="false">IF(E32="","",COUNTA($E$6:$E32)+1)</f>
        <v/>
      </c>
      <c r="B32" s="14"/>
      <c r="C32" s="15"/>
      <c r="D32" s="15"/>
      <c r="E32" s="15"/>
      <c r="F32" s="16"/>
      <c r="G32" s="15"/>
      <c r="H32" s="15"/>
      <c r="I32" s="15"/>
      <c r="J32" s="15"/>
      <c r="K32" s="15"/>
      <c r="L32" s="16"/>
      <c r="M32" s="15"/>
      <c r="N32" s="15"/>
      <c r="O32" s="15"/>
      <c r="P32" s="15"/>
      <c r="Q32" s="17"/>
      <c r="R32" s="16"/>
      <c r="S32" s="16"/>
      <c r="T32" s="16"/>
      <c r="U32" s="17"/>
    </row>
    <row r="33" customFormat="false" ht="19.5" hidden="false" customHeight="true" outlineLevel="0" collapsed="false">
      <c r="A33" s="13" t="str">
        <f aca="false">IF(E33="","",COUNTA($E$6:$E33)+1)</f>
        <v/>
      </c>
      <c r="B33" s="14"/>
      <c r="C33" s="15"/>
      <c r="D33" s="15"/>
      <c r="E33" s="15"/>
      <c r="F33" s="16"/>
      <c r="G33" s="15"/>
      <c r="H33" s="15"/>
      <c r="I33" s="15"/>
      <c r="J33" s="15"/>
      <c r="K33" s="15"/>
      <c r="L33" s="16"/>
      <c r="M33" s="15"/>
      <c r="N33" s="15"/>
      <c r="O33" s="15"/>
      <c r="P33" s="15"/>
      <c r="Q33" s="17"/>
      <c r="R33" s="16"/>
      <c r="S33" s="16"/>
      <c r="T33" s="16"/>
      <c r="U33" s="17"/>
    </row>
    <row r="34" customFormat="false" ht="19.5" hidden="false" customHeight="true" outlineLevel="0" collapsed="false">
      <c r="A34" s="13" t="str">
        <f aca="false">IF(E34="","",COUNTA($E$6:$E34)+1)</f>
        <v/>
      </c>
      <c r="B34" s="14"/>
      <c r="C34" s="15"/>
      <c r="D34" s="15"/>
      <c r="E34" s="15"/>
      <c r="F34" s="16"/>
      <c r="G34" s="15"/>
      <c r="H34" s="15"/>
      <c r="I34" s="15"/>
      <c r="J34" s="15"/>
      <c r="K34" s="15"/>
      <c r="L34" s="16"/>
      <c r="M34" s="15"/>
      <c r="N34" s="15"/>
      <c r="O34" s="15"/>
      <c r="P34" s="15"/>
      <c r="Q34" s="17"/>
      <c r="R34" s="16"/>
      <c r="S34" s="16"/>
      <c r="T34" s="16"/>
      <c r="U34" s="17"/>
    </row>
    <row r="35" customFormat="false" ht="19.5" hidden="false" customHeight="true" outlineLevel="0" collapsed="false">
      <c r="A35" s="13" t="str">
        <f aca="false">IF(E35="","",COUNTA($E$6:$E35)+1)</f>
        <v/>
      </c>
      <c r="B35" s="14"/>
      <c r="C35" s="15"/>
      <c r="D35" s="15"/>
      <c r="E35" s="15"/>
      <c r="F35" s="16"/>
      <c r="G35" s="15"/>
      <c r="H35" s="15"/>
      <c r="I35" s="15"/>
      <c r="J35" s="15"/>
      <c r="K35" s="15"/>
      <c r="L35" s="16"/>
      <c r="M35" s="15"/>
      <c r="N35" s="15"/>
      <c r="O35" s="15"/>
      <c r="P35" s="15"/>
      <c r="Q35" s="17"/>
      <c r="R35" s="16"/>
      <c r="S35" s="16"/>
      <c r="T35" s="16"/>
      <c r="U35" s="17"/>
    </row>
    <row r="36" customFormat="false" ht="19.5" hidden="false" customHeight="true" outlineLevel="0" collapsed="false">
      <c r="A36" s="13" t="str">
        <f aca="false">IF(E36="","",COUNTA($E$6:$E36)+1)</f>
        <v/>
      </c>
      <c r="B36" s="14"/>
      <c r="C36" s="15"/>
      <c r="D36" s="15"/>
      <c r="E36" s="15"/>
      <c r="F36" s="16"/>
      <c r="G36" s="15"/>
      <c r="H36" s="15"/>
      <c r="I36" s="15"/>
      <c r="J36" s="15"/>
      <c r="K36" s="15"/>
      <c r="L36" s="16"/>
      <c r="M36" s="15"/>
      <c r="N36" s="15"/>
      <c r="O36" s="15"/>
      <c r="P36" s="15"/>
      <c r="Q36" s="17"/>
      <c r="R36" s="16"/>
      <c r="S36" s="16"/>
      <c r="T36" s="16"/>
      <c r="U36" s="17"/>
    </row>
    <row r="37" customFormat="false" ht="19.5" hidden="false" customHeight="true" outlineLevel="0" collapsed="false">
      <c r="A37" s="13" t="str">
        <f aca="false">IF(E37="","",COUNTA($E$6:$E37)+1)</f>
        <v/>
      </c>
      <c r="B37" s="14"/>
      <c r="C37" s="15"/>
      <c r="D37" s="15"/>
      <c r="E37" s="15"/>
      <c r="F37" s="16"/>
      <c r="G37" s="15"/>
      <c r="H37" s="15"/>
      <c r="I37" s="15"/>
      <c r="J37" s="15"/>
      <c r="K37" s="15"/>
      <c r="L37" s="16"/>
      <c r="M37" s="15"/>
      <c r="N37" s="15"/>
      <c r="O37" s="15"/>
      <c r="P37" s="15"/>
      <c r="Q37" s="17"/>
      <c r="R37" s="16"/>
      <c r="S37" s="16"/>
      <c r="T37" s="16"/>
      <c r="U37" s="17"/>
    </row>
    <row r="38" customFormat="false" ht="19.5" hidden="false" customHeight="true" outlineLevel="0" collapsed="false">
      <c r="A38" s="13" t="str">
        <f aca="false">IF(E38="","",COUNTA($E$6:$E38)+1)</f>
        <v/>
      </c>
      <c r="B38" s="14"/>
      <c r="C38" s="15"/>
      <c r="D38" s="15"/>
      <c r="E38" s="15"/>
      <c r="F38" s="16"/>
      <c r="G38" s="15"/>
      <c r="H38" s="15"/>
      <c r="I38" s="15"/>
      <c r="J38" s="15"/>
      <c r="K38" s="15"/>
      <c r="L38" s="16"/>
      <c r="M38" s="15"/>
      <c r="N38" s="15"/>
      <c r="O38" s="15"/>
      <c r="P38" s="15"/>
      <c r="Q38" s="17"/>
      <c r="R38" s="16"/>
      <c r="S38" s="16"/>
      <c r="T38" s="16"/>
      <c r="U38" s="17"/>
    </row>
    <row r="39" customFormat="false" ht="19.5" hidden="false" customHeight="true" outlineLevel="0" collapsed="false">
      <c r="A39" s="13" t="str">
        <f aca="false">IF(E39="","",COUNTA($E$6:$E39)+1)</f>
        <v/>
      </c>
      <c r="B39" s="14"/>
      <c r="C39" s="15"/>
      <c r="D39" s="15"/>
      <c r="E39" s="15"/>
      <c r="F39" s="16"/>
      <c r="G39" s="15"/>
      <c r="H39" s="15"/>
      <c r="I39" s="15"/>
      <c r="J39" s="15"/>
      <c r="K39" s="15"/>
      <c r="L39" s="16"/>
      <c r="M39" s="15"/>
      <c r="N39" s="15"/>
      <c r="O39" s="15"/>
      <c r="P39" s="15"/>
      <c r="Q39" s="17"/>
      <c r="R39" s="16"/>
      <c r="S39" s="16"/>
      <c r="T39" s="16"/>
      <c r="U39" s="17"/>
    </row>
    <row r="40" customFormat="false" ht="19.5" hidden="false" customHeight="true" outlineLevel="0" collapsed="false">
      <c r="A40" s="13" t="str">
        <f aca="false">IF(E40="","",COUNTA($E$6:$E40)+1)</f>
        <v/>
      </c>
      <c r="B40" s="14"/>
      <c r="C40" s="15"/>
      <c r="D40" s="15"/>
      <c r="E40" s="15"/>
      <c r="F40" s="16"/>
      <c r="G40" s="15"/>
      <c r="H40" s="15"/>
      <c r="I40" s="15"/>
      <c r="J40" s="15"/>
      <c r="K40" s="15"/>
      <c r="L40" s="16"/>
      <c r="M40" s="15"/>
      <c r="N40" s="15"/>
      <c r="O40" s="15"/>
      <c r="P40" s="15"/>
      <c r="Q40" s="17"/>
      <c r="R40" s="16"/>
      <c r="S40" s="16"/>
      <c r="T40" s="16"/>
      <c r="U40" s="17"/>
    </row>
    <row r="41" customFormat="false" ht="19.5" hidden="false" customHeight="true" outlineLevel="0" collapsed="false">
      <c r="A41" s="13" t="str">
        <f aca="false">IF(E41="","",COUNTA($E$6:$E41)+1)</f>
        <v/>
      </c>
      <c r="B41" s="14"/>
      <c r="C41" s="15"/>
      <c r="D41" s="15"/>
      <c r="E41" s="15"/>
      <c r="F41" s="16"/>
      <c r="G41" s="15"/>
      <c r="H41" s="15"/>
      <c r="I41" s="15"/>
      <c r="J41" s="15"/>
      <c r="K41" s="15"/>
      <c r="L41" s="16"/>
      <c r="M41" s="15"/>
      <c r="N41" s="15"/>
      <c r="O41" s="15"/>
      <c r="P41" s="15"/>
      <c r="Q41" s="17"/>
      <c r="R41" s="16"/>
      <c r="S41" s="16"/>
      <c r="T41" s="16"/>
      <c r="U41" s="17"/>
    </row>
    <row r="42" customFormat="false" ht="19.5" hidden="false" customHeight="true" outlineLevel="0" collapsed="false">
      <c r="A42" s="13" t="str">
        <f aca="false">IF(E42="","",COUNTA($E$6:$E42)+1)</f>
        <v/>
      </c>
      <c r="B42" s="14"/>
      <c r="C42" s="15"/>
      <c r="D42" s="15"/>
      <c r="E42" s="15"/>
      <c r="F42" s="16"/>
      <c r="G42" s="15"/>
      <c r="H42" s="15"/>
      <c r="I42" s="15"/>
      <c r="J42" s="15"/>
      <c r="K42" s="15"/>
      <c r="L42" s="16"/>
      <c r="M42" s="15"/>
      <c r="N42" s="15"/>
      <c r="O42" s="15"/>
      <c r="P42" s="15"/>
      <c r="Q42" s="17"/>
      <c r="R42" s="16"/>
      <c r="S42" s="16"/>
      <c r="T42" s="16"/>
      <c r="U42" s="17"/>
    </row>
    <row r="43" customFormat="false" ht="19.5" hidden="false" customHeight="true" outlineLevel="0" collapsed="false">
      <c r="A43" s="13" t="str">
        <f aca="false">IF(E43="","",COUNTA($E$6:$E43)+1)</f>
        <v/>
      </c>
      <c r="B43" s="14"/>
      <c r="C43" s="15"/>
      <c r="D43" s="15"/>
      <c r="E43" s="15"/>
      <c r="F43" s="16"/>
      <c r="G43" s="15"/>
      <c r="H43" s="15"/>
      <c r="I43" s="15"/>
      <c r="J43" s="15"/>
      <c r="K43" s="15"/>
      <c r="L43" s="16"/>
      <c r="M43" s="15"/>
      <c r="N43" s="15"/>
      <c r="O43" s="15"/>
      <c r="P43" s="15"/>
      <c r="Q43" s="17"/>
      <c r="R43" s="16"/>
      <c r="S43" s="16"/>
      <c r="T43" s="16"/>
      <c r="U43" s="17"/>
    </row>
    <row r="44" customFormat="false" ht="19.5" hidden="false" customHeight="true" outlineLevel="0" collapsed="false">
      <c r="A44" s="13" t="str">
        <f aca="false">IF(E44="","",COUNTA($E$6:$E44)+1)</f>
        <v/>
      </c>
      <c r="B44" s="14"/>
      <c r="C44" s="15"/>
      <c r="D44" s="15"/>
      <c r="E44" s="15"/>
      <c r="F44" s="16"/>
      <c r="G44" s="15"/>
      <c r="H44" s="15"/>
      <c r="I44" s="15"/>
      <c r="J44" s="15"/>
      <c r="K44" s="15"/>
      <c r="L44" s="16"/>
      <c r="M44" s="15"/>
      <c r="N44" s="15"/>
      <c r="O44" s="15"/>
      <c r="P44" s="15"/>
      <c r="Q44" s="17"/>
      <c r="R44" s="16"/>
      <c r="S44" s="16"/>
      <c r="T44" s="16"/>
      <c r="U44" s="17"/>
    </row>
    <row r="45" customFormat="false" ht="19.5" hidden="false" customHeight="true" outlineLevel="0" collapsed="false">
      <c r="A45" s="13" t="str">
        <f aca="false">IF(E45="","",COUNTA($E$6:$E45)+1)</f>
        <v/>
      </c>
      <c r="B45" s="14"/>
      <c r="C45" s="15"/>
      <c r="D45" s="15"/>
      <c r="E45" s="15"/>
      <c r="F45" s="16"/>
      <c r="G45" s="15"/>
      <c r="H45" s="15"/>
      <c r="I45" s="15"/>
      <c r="J45" s="15"/>
      <c r="K45" s="15"/>
      <c r="L45" s="16"/>
      <c r="M45" s="15"/>
      <c r="N45" s="15"/>
      <c r="O45" s="15"/>
      <c r="P45" s="15"/>
      <c r="Q45" s="17"/>
      <c r="R45" s="16"/>
      <c r="S45" s="16"/>
      <c r="T45" s="16"/>
      <c r="U45" s="17"/>
    </row>
    <row r="46" customFormat="false" ht="19.5" hidden="false" customHeight="true" outlineLevel="0" collapsed="false">
      <c r="A46" s="13" t="str">
        <f aca="false">IF(E46="","",COUNTA($E$6:$E46)+1)</f>
        <v/>
      </c>
      <c r="B46" s="14"/>
      <c r="C46" s="15"/>
      <c r="D46" s="15"/>
      <c r="E46" s="15"/>
      <c r="F46" s="16"/>
      <c r="G46" s="15"/>
      <c r="H46" s="15"/>
      <c r="I46" s="15"/>
      <c r="J46" s="15"/>
      <c r="K46" s="15"/>
      <c r="L46" s="16"/>
      <c r="M46" s="15"/>
      <c r="N46" s="15"/>
      <c r="O46" s="15"/>
      <c r="P46" s="15"/>
      <c r="Q46" s="17"/>
      <c r="R46" s="16"/>
      <c r="S46" s="16"/>
      <c r="T46" s="16"/>
      <c r="U46" s="17"/>
    </row>
    <row r="47" customFormat="false" ht="19.5" hidden="false" customHeight="true" outlineLevel="0" collapsed="false">
      <c r="A47" s="13" t="str">
        <f aca="false">IF(E47="","",COUNTA($E$6:$E47)+1)</f>
        <v/>
      </c>
      <c r="B47" s="14"/>
      <c r="C47" s="15"/>
      <c r="D47" s="15"/>
      <c r="E47" s="15"/>
      <c r="F47" s="16"/>
      <c r="G47" s="15"/>
      <c r="H47" s="15"/>
      <c r="I47" s="15"/>
      <c r="J47" s="15"/>
      <c r="K47" s="15"/>
      <c r="L47" s="16"/>
      <c r="M47" s="15"/>
      <c r="N47" s="15"/>
      <c r="O47" s="15"/>
      <c r="P47" s="15"/>
      <c r="Q47" s="17"/>
      <c r="R47" s="16"/>
      <c r="S47" s="16"/>
      <c r="T47" s="16"/>
      <c r="U47" s="17"/>
    </row>
    <row r="48" customFormat="false" ht="19.5" hidden="false" customHeight="true" outlineLevel="0" collapsed="false">
      <c r="A48" s="13" t="str">
        <f aca="false">IF(E48="","",COUNTA($E$6:$E48)+1)</f>
        <v/>
      </c>
      <c r="B48" s="14"/>
      <c r="C48" s="15"/>
      <c r="D48" s="15"/>
      <c r="E48" s="15"/>
      <c r="F48" s="16"/>
      <c r="G48" s="15"/>
      <c r="H48" s="15"/>
      <c r="I48" s="15"/>
      <c r="J48" s="15"/>
      <c r="K48" s="15"/>
      <c r="L48" s="16"/>
      <c r="M48" s="15"/>
      <c r="N48" s="15"/>
      <c r="O48" s="15"/>
      <c r="P48" s="15"/>
      <c r="Q48" s="17"/>
      <c r="R48" s="16"/>
      <c r="S48" s="16"/>
      <c r="T48" s="16"/>
      <c r="U48" s="17"/>
    </row>
    <row r="49" customFormat="false" ht="19.5" hidden="false" customHeight="true" outlineLevel="0" collapsed="false">
      <c r="A49" s="13" t="str">
        <f aca="false">IF(E49="","",COUNTA($E$6:$E49)+1)</f>
        <v/>
      </c>
      <c r="B49" s="14"/>
      <c r="C49" s="15"/>
      <c r="D49" s="15"/>
      <c r="E49" s="15"/>
      <c r="F49" s="16"/>
      <c r="G49" s="15"/>
      <c r="H49" s="15"/>
      <c r="I49" s="15"/>
      <c r="J49" s="15"/>
      <c r="K49" s="15"/>
      <c r="L49" s="16"/>
      <c r="M49" s="15"/>
      <c r="N49" s="15"/>
      <c r="O49" s="15"/>
      <c r="P49" s="15"/>
      <c r="Q49" s="17"/>
      <c r="R49" s="16"/>
      <c r="S49" s="16"/>
      <c r="T49" s="16"/>
      <c r="U49" s="17"/>
    </row>
    <row r="50" customFormat="false" ht="19.5" hidden="false" customHeight="true" outlineLevel="0" collapsed="false">
      <c r="A50" s="13" t="str">
        <f aca="false">IF(E50="","",COUNTA($E$6:$E50)+1)</f>
        <v/>
      </c>
      <c r="B50" s="14"/>
      <c r="C50" s="15"/>
      <c r="D50" s="15"/>
      <c r="E50" s="15"/>
      <c r="F50" s="16"/>
      <c r="G50" s="15"/>
      <c r="H50" s="15"/>
      <c r="I50" s="15"/>
      <c r="J50" s="15"/>
      <c r="K50" s="15"/>
      <c r="L50" s="16"/>
      <c r="M50" s="15"/>
      <c r="N50" s="15"/>
      <c r="O50" s="15"/>
      <c r="P50" s="15"/>
      <c r="Q50" s="17"/>
      <c r="R50" s="16"/>
      <c r="S50" s="16"/>
      <c r="T50" s="16"/>
      <c r="U50" s="17"/>
    </row>
    <row r="51" customFormat="false" ht="19.5" hidden="false" customHeight="true" outlineLevel="0" collapsed="false">
      <c r="A51" s="13" t="str">
        <f aca="false">IF(E51="","",COUNTA($E$6:$E51)+1)</f>
        <v/>
      </c>
      <c r="B51" s="14"/>
      <c r="C51" s="15"/>
      <c r="D51" s="15"/>
      <c r="E51" s="15"/>
      <c r="F51" s="16"/>
      <c r="G51" s="15"/>
      <c r="H51" s="15"/>
      <c r="I51" s="15"/>
      <c r="J51" s="15"/>
      <c r="K51" s="15"/>
      <c r="L51" s="16"/>
      <c r="M51" s="15"/>
      <c r="N51" s="15"/>
      <c r="O51" s="15"/>
      <c r="P51" s="15"/>
      <c r="Q51" s="17"/>
      <c r="R51" s="16"/>
      <c r="S51" s="16"/>
      <c r="T51" s="16"/>
      <c r="U51" s="17"/>
    </row>
    <row r="52" customFormat="false" ht="19.5" hidden="false" customHeight="true" outlineLevel="0" collapsed="false">
      <c r="A52" s="13" t="str">
        <f aca="false">IF(E52="","",COUNTA($E$6:$E52)+1)</f>
        <v/>
      </c>
      <c r="B52" s="14"/>
      <c r="C52" s="15"/>
      <c r="D52" s="15"/>
      <c r="E52" s="15"/>
      <c r="F52" s="16"/>
      <c r="G52" s="15"/>
      <c r="H52" s="15"/>
      <c r="I52" s="15"/>
      <c r="J52" s="15"/>
      <c r="K52" s="15"/>
      <c r="L52" s="16"/>
      <c r="M52" s="15"/>
      <c r="N52" s="15"/>
      <c r="O52" s="15"/>
      <c r="P52" s="15"/>
      <c r="Q52" s="17"/>
      <c r="R52" s="16"/>
      <c r="S52" s="16"/>
      <c r="T52" s="16"/>
      <c r="U52" s="17"/>
    </row>
    <row r="53" customFormat="false" ht="19.5" hidden="false" customHeight="true" outlineLevel="0" collapsed="false">
      <c r="A53" s="13" t="str">
        <f aca="false">IF(E53="","",COUNTA($E$6:$E53)+1)</f>
        <v/>
      </c>
      <c r="B53" s="14"/>
      <c r="C53" s="15"/>
      <c r="D53" s="15"/>
      <c r="E53" s="15"/>
      <c r="F53" s="16"/>
      <c r="G53" s="15"/>
      <c r="H53" s="15"/>
      <c r="I53" s="15"/>
      <c r="J53" s="15"/>
      <c r="K53" s="15"/>
      <c r="L53" s="16"/>
      <c r="M53" s="15"/>
      <c r="N53" s="15"/>
      <c r="O53" s="15"/>
      <c r="P53" s="15"/>
      <c r="Q53" s="17"/>
      <c r="R53" s="16"/>
      <c r="S53" s="16"/>
      <c r="T53" s="16"/>
      <c r="U53" s="17"/>
    </row>
    <row r="54" customFormat="false" ht="19.5" hidden="false" customHeight="true" outlineLevel="0" collapsed="false">
      <c r="A54" s="13" t="str">
        <f aca="false">IF(E54="","",COUNTA($E$6:$E54)+1)</f>
        <v/>
      </c>
      <c r="B54" s="14"/>
      <c r="C54" s="15"/>
      <c r="D54" s="15"/>
      <c r="E54" s="15"/>
      <c r="F54" s="16"/>
      <c r="G54" s="15"/>
      <c r="H54" s="15"/>
      <c r="I54" s="15"/>
      <c r="J54" s="15"/>
      <c r="K54" s="15"/>
      <c r="L54" s="16"/>
      <c r="M54" s="15"/>
      <c r="N54" s="15"/>
      <c r="O54" s="15"/>
      <c r="P54" s="15"/>
      <c r="Q54" s="17"/>
      <c r="R54" s="16"/>
      <c r="S54" s="16"/>
      <c r="T54" s="16"/>
      <c r="U54" s="17"/>
    </row>
    <row r="55" customFormat="false" ht="19.5" hidden="false" customHeight="true" outlineLevel="0" collapsed="false">
      <c r="A55" s="13" t="str">
        <f aca="false">IF(E55="","",COUNTA($E$6:$E55)+1)</f>
        <v/>
      </c>
      <c r="B55" s="14"/>
      <c r="C55" s="15"/>
      <c r="D55" s="15"/>
      <c r="E55" s="15"/>
      <c r="F55" s="16"/>
      <c r="G55" s="15"/>
      <c r="H55" s="15"/>
      <c r="I55" s="15"/>
      <c r="J55" s="15"/>
      <c r="K55" s="15"/>
      <c r="L55" s="16"/>
      <c r="M55" s="15"/>
      <c r="N55" s="15"/>
      <c r="O55" s="15"/>
      <c r="P55" s="15"/>
      <c r="Q55" s="17"/>
      <c r="R55" s="16"/>
      <c r="S55" s="16"/>
      <c r="T55" s="16"/>
      <c r="U55" s="17"/>
    </row>
    <row r="56" customFormat="false" ht="19.5" hidden="false" customHeight="true" outlineLevel="0" collapsed="false">
      <c r="A56" s="13" t="str">
        <f aca="false">IF(E56="","",COUNTA($E$6:$E56)+1)</f>
        <v/>
      </c>
      <c r="B56" s="14"/>
      <c r="C56" s="15"/>
      <c r="D56" s="15"/>
      <c r="E56" s="15"/>
      <c r="F56" s="16"/>
      <c r="G56" s="15"/>
      <c r="H56" s="15"/>
      <c r="I56" s="15"/>
      <c r="J56" s="15"/>
      <c r="K56" s="15"/>
      <c r="L56" s="16"/>
      <c r="M56" s="15"/>
      <c r="N56" s="15"/>
      <c r="O56" s="15"/>
      <c r="P56" s="15"/>
      <c r="Q56" s="17"/>
      <c r="R56" s="16"/>
      <c r="S56" s="16"/>
      <c r="T56" s="16"/>
      <c r="U56" s="17"/>
    </row>
    <row r="57" customFormat="false" ht="19.5" hidden="false" customHeight="true" outlineLevel="0" collapsed="false">
      <c r="A57" s="13" t="str">
        <f aca="false">IF(E57="","",COUNTA($E$6:$E57)+1)</f>
        <v/>
      </c>
      <c r="B57" s="14"/>
      <c r="C57" s="15"/>
      <c r="D57" s="15"/>
      <c r="E57" s="15"/>
      <c r="F57" s="16"/>
      <c r="G57" s="15"/>
      <c r="H57" s="15"/>
      <c r="I57" s="15"/>
      <c r="J57" s="15"/>
      <c r="K57" s="15"/>
      <c r="L57" s="16"/>
      <c r="M57" s="15"/>
      <c r="N57" s="15"/>
      <c r="O57" s="15"/>
      <c r="P57" s="15"/>
      <c r="Q57" s="17"/>
      <c r="R57" s="16"/>
      <c r="S57" s="16"/>
      <c r="T57" s="16"/>
      <c r="U57" s="17"/>
    </row>
    <row r="58" customFormat="false" ht="19.5" hidden="false" customHeight="true" outlineLevel="0" collapsed="false">
      <c r="A58" s="13" t="str">
        <f aca="false">IF(E58="","",COUNTA($E$6:$E58)+1)</f>
        <v/>
      </c>
      <c r="B58" s="14"/>
      <c r="C58" s="15"/>
      <c r="D58" s="15"/>
      <c r="E58" s="15"/>
      <c r="F58" s="16"/>
      <c r="G58" s="15"/>
      <c r="H58" s="15"/>
      <c r="I58" s="15"/>
      <c r="J58" s="15"/>
      <c r="K58" s="15"/>
      <c r="L58" s="16"/>
      <c r="M58" s="15"/>
      <c r="N58" s="15"/>
      <c r="O58" s="15"/>
      <c r="P58" s="15"/>
      <c r="Q58" s="17"/>
      <c r="R58" s="16"/>
      <c r="S58" s="16"/>
      <c r="T58" s="16"/>
      <c r="U58" s="17"/>
    </row>
    <row r="59" customFormat="false" ht="19.5" hidden="false" customHeight="true" outlineLevel="0" collapsed="false">
      <c r="A59" s="13" t="str">
        <f aca="false">IF(E59="","",COUNTA($E$6:$E59)+1)</f>
        <v/>
      </c>
      <c r="B59" s="14"/>
      <c r="C59" s="15"/>
      <c r="D59" s="15"/>
      <c r="E59" s="15"/>
      <c r="F59" s="16"/>
      <c r="G59" s="15"/>
      <c r="H59" s="15"/>
      <c r="I59" s="15"/>
      <c r="J59" s="15"/>
      <c r="K59" s="15"/>
      <c r="L59" s="16"/>
      <c r="M59" s="15"/>
      <c r="N59" s="15"/>
      <c r="O59" s="15"/>
      <c r="P59" s="15"/>
      <c r="Q59" s="17"/>
      <c r="R59" s="16"/>
      <c r="S59" s="16"/>
      <c r="T59" s="16"/>
      <c r="U59" s="17"/>
    </row>
    <row r="60" customFormat="false" ht="19.5" hidden="false" customHeight="true" outlineLevel="0" collapsed="false">
      <c r="A60" s="13" t="str">
        <f aca="false">IF(E60="","",COUNTA($E$6:$E60)+1)</f>
        <v/>
      </c>
      <c r="B60" s="14"/>
      <c r="C60" s="15"/>
      <c r="D60" s="15"/>
      <c r="E60" s="15"/>
      <c r="F60" s="16"/>
      <c r="G60" s="15"/>
      <c r="H60" s="15"/>
      <c r="I60" s="15"/>
      <c r="J60" s="15"/>
      <c r="K60" s="15"/>
      <c r="L60" s="16"/>
      <c r="M60" s="15"/>
      <c r="N60" s="15"/>
      <c r="O60" s="15"/>
      <c r="P60" s="15"/>
      <c r="Q60" s="17"/>
      <c r="R60" s="16"/>
      <c r="S60" s="16"/>
      <c r="T60" s="16"/>
      <c r="U60" s="17"/>
    </row>
    <row r="61" customFormat="false" ht="19.5" hidden="false" customHeight="true" outlineLevel="0" collapsed="false">
      <c r="A61" s="13" t="str">
        <f aca="false">IF(E61="","",COUNTA($E$6:$E61)+1)</f>
        <v/>
      </c>
      <c r="B61" s="14"/>
      <c r="C61" s="15"/>
      <c r="D61" s="15"/>
      <c r="E61" s="15"/>
      <c r="F61" s="16"/>
      <c r="G61" s="15"/>
      <c r="H61" s="15"/>
      <c r="I61" s="15"/>
      <c r="J61" s="15"/>
      <c r="K61" s="15"/>
      <c r="L61" s="16"/>
      <c r="M61" s="15"/>
      <c r="N61" s="15"/>
      <c r="O61" s="15"/>
      <c r="P61" s="15"/>
      <c r="Q61" s="17"/>
      <c r="R61" s="16"/>
      <c r="S61" s="16"/>
      <c r="T61" s="16"/>
      <c r="U61" s="17"/>
    </row>
    <row r="62" customFormat="false" ht="19.5" hidden="false" customHeight="true" outlineLevel="0" collapsed="false">
      <c r="A62" s="13" t="str">
        <f aca="false">IF(E62="","",COUNTA($E$6:$E62)+1)</f>
        <v/>
      </c>
      <c r="B62" s="14"/>
      <c r="C62" s="15"/>
      <c r="D62" s="15"/>
      <c r="E62" s="15"/>
      <c r="F62" s="16"/>
      <c r="G62" s="15"/>
      <c r="H62" s="15"/>
      <c r="I62" s="15"/>
      <c r="J62" s="15"/>
      <c r="K62" s="15"/>
      <c r="L62" s="16"/>
      <c r="M62" s="15"/>
      <c r="N62" s="15"/>
      <c r="O62" s="15"/>
      <c r="P62" s="15"/>
      <c r="Q62" s="17"/>
      <c r="R62" s="16"/>
      <c r="S62" s="16"/>
      <c r="T62" s="16"/>
      <c r="U62" s="17"/>
    </row>
    <row r="63" customFormat="false" ht="19.5" hidden="false" customHeight="true" outlineLevel="0" collapsed="false">
      <c r="A63" s="13" t="str">
        <f aca="false">IF(E63="","",COUNTA($E$6:$E63)+1)</f>
        <v/>
      </c>
      <c r="B63" s="14"/>
      <c r="C63" s="15"/>
      <c r="D63" s="15"/>
      <c r="E63" s="15"/>
      <c r="F63" s="16"/>
      <c r="G63" s="15"/>
      <c r="H63" s="15"/>
      <c r="I63" s="15"/>
      <c r="J63" s="15"/>
      <c r="K63" s="15"/>
      <c r="L63" s="16"/>
      <c r="M63" s="15"/>
      <c r="N63" s="15"/>
      <c r="O63" s="15"/>
      <c r="P63" s="15"/>
      <c r="Q63" s="17"/>
      <c r="R63" s="16"/>
      <c r="S63" s="16"/>
      <c r="T63" s="16"/>
      <c r="U63" s="17"/>
    </row>
    <row r="64" customFormat="false" ht="19.5" hidden="false" customHeight="true" outlineLevel="0" collapsed="false">
      <c r="A64" s="13" t="str">
        <f aca="false">IF(E64="","",COUNTA($E$6:$E64)+1)</f>
        <v/>
      </c>
      <c r="B64" s="14"/>
      <c r="C64" s="15"/>
      <c r="D64" s="15"/>
      <c r="E64" s="15"/>
      <c r="F64" s="16"/>
      <c r="G64" s="15"/>
      <c r="H64" s="15"/>
      <c r="I64" s="15"/>
      <c r="J64" s="15"/>
      <c r="K64" s="15"/>
      <c r="L64" s="16"/>
      <c r="M64" s="15"/>
      <c r="N64" s="15"/>
      <c r="O64" s="15"/>
      <c r="P64" s="15"/>
      <c r="Q64" s="17"/>
      <c r="R64" s="16"/>
      <c r="S64" s="16"/>
      <c r="T64" s="16"/>
      <c r="U64" s="17"/>
    </row>
  </sheetData>
  <autoFilter ref="A4:U64"/>
  <mergeCells count="4">
    <mergeCell ref="A1:U1"/>
    <mergeCell ref="A2:U2"/>
    <mergeCell ref="E3:J3"/>
    <mergeCell ref="K3:P3"/>
  </mergeCells>
  <conditionalFormatting sqref="S6:S64">
    <cfRule type="cellIs" priority="2" operator="equal" aboveAverage="0" equalAverage="0" bottom="0" percent="0" rank="0" text="" dxfId="6">
      <formula>"입금완료"</formula>
    </cfRule>
    <cfRule type="cellIs" priority="3" operator="equal" aboveAverage="0" equalAverage="0" bottom="0" percent="0" rank="0" text="" dxfId="7">
      <formula>"미납"</formula>
    </cfRule>
  </conditionalFormatting>
  <conditionalFormatting sqref="T6:T64">
    <cfRule type="cellIs" priority="4" operator="equal" aboveAverage="0" equalAverage="0" bottom="0" percent="0" rank="0" text="" dxfId="6">
      <formula>"확정"</formula>
    </cfRule>
  </conditionalFormatting>
  <dataValidations count="7">
    <dataValidation allowBlank="true" errorStyle="stop" operator="between" showDropDown="false" showErrorMessage="false" showInputMessage="false" sqref="C6:C64" type="list">
      <formula1>"NY · 뉴욕,NJ · 뉴저지,MD · 메릴랜드,VA · 버지니아,AL · 알라바마,GA · 조지아,TX · 텍사스,FL · 플로리다,MN · 미네소타,KR · 한국,기타 지역"</formula1>
      <formula2>0</formula2>
    </dataValidation>
    <dataValidation allowBlank="true" errorStyle="stop" operator="between" showDropDown="false" showErrorMessage="false" showInputMessage="false" sqref="D6:D64" type="list">
      <formula1>"남성부,여성부,혼성부,시니어부"</formula1>
      <formula2>0</formula2>
    </dataValidation>
    <dataValidation allowBlank="true" errorStyle="stop" operator="between" showDropDown="false" showErrorMessage="false" showInputMessage="false" sqref="J6:J64" type="list">
      <formula1>"스크래치 ~ 5,6 – 10,11 – 15,16 – 20,21 이상"</formula1>
      <formula2>0</formula2>
    </dataValidation>
    <dataValidation allowBlank="true" errorStyle="stop" operator="between" showDropDown="false" showErrorMessage="false" showInputMessage="false" sqref="P6:P64" type="list">
      <formula1>"스크래치 ~ 5,6 – 10,11 – 15,16 – 20,21 이상"</formula1>
      <formula2>0</formula2>
    </dataValidation>
    <dataValidation allowBlank="true" errorStyle="stop" operator="between" showDropDown="false" showErrorMessage="false" showInputMessage="false" sqref="R6:R64" type="list">
      <formula1>"Y,N"</formula1>
      <formula2>0</formula2>
    </dataValidation>
    <dataValidation allowBlank="true" errorStyle="stop" operator="between" showDropDown="false" showErrorMessage="false" showInputMessage="false" sqref="S6:S64" type="list">
      <formula1>"미납,입금완료,환불"</formula1>
      <formula2>0</formula2>
    </dataValidation>
    <dataValidation allowBlank="true" errorStyle="stop" operator="between" showDropDown="false" showErrorMessage="false" showInputMessage="false" sqref="T6:T64" type="list">
      <formula1>"대기,확정,취소"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8" t="s">
        <v>37</v>
      </c>
    </row>
    <row r="2" customFormat="false" ht="15" hidden="false" customHeight="false" outlineLevel="0" collapsed="false">
      <c r="A2" s="19" t="s">
        <v>38</v>
      </c>
    </row>
    <row r="4" customFormat="false" ht="19.5" hidden="false" customHeight="true" outlineLevel="0" collapsed="false">
      <c r="A4" s="20" t="s">
        <v>39</v>
      </c>
      <c r="B4" s="21" t="n">
        <f aca="false">COUNTA('참가 명단'!$E$6:$E$64)</f>
        <v>0</v>
      </c>
      <c r="D4" s="22" t="s">
        <v>40</v>
      </c>
    </row>
    <row r="5" customFormat="false" ht="19.5" hidden="false" customHeight="true" outlineLevel="0" collapsed="false">
      <c r="A5" s="20" t="s">
        <v>41</v>
      </c>
      <c r="B5" s="21" t="n">
        <f aca="false">COUNTA('참가 명단'!$E$6:$E$64)*2</f>
        <v>0</v>
      </c>
      <c r="D5" s="23" t="s">
        <v>22</v>
      </c>
      <c r="E5" s="24" t="n">
        <f aca="false">COUNTIF('참가 명단'!$D$6:$D$64,D5)</f>
        <v>0</v>
      </c>
    </row>
    <row r="6" customFormat="false" ht="19.5" hidden="false" customHeight="true" outlineLevel="0" collapsed="false">
      <c r="A6" s="20" t="s">
        <v>42</v>
      </c>
      <c r="B6" s="21" t="n">
        <f aca="false">24-COUNTA('참가 명단'!$E$6:$E$64)</f>
        <v>24</v>
      </c>
      <c r="D6" s="23" t="s">
        <v>43</v>
      </c>
      <c r="E6" s="24" t="n">
        <f aca="false">COUNTIF('참가 명단'!$D$6:$D$64,D6)</f>
        <v>0</v>
      </c>
    </row>
    <row r="7" customFormat="false" ht="19.5" hidden="false" customHeight="true" outlineLevel="0" collapsed="false">
      <c r="A7" s="20" t="s">
        <v>44</v>
      </c>
      <c r="B7" s="21" t="n">
        <f aca="false">48-COUNTA('참가 명단'!$E$6:$E$64)*2</f>
        <v>48</v>
      </c>
      <c r="D7" s="23" t="s">
        <v>45</v>
      </c>
      <c r="E7" s="24" t="n">
        <f aca="false">COUNTIF('참가 명단'!$D$6:$D$64,D7)</f>
        <v>0</v>
      </c>
    </row>
    <row r="8" customFormat="false" ht="19.5" hidden="false" customHeight="true" outlineLevel="0" collapsed="false">
      <c r="A8" s="20" t="s">
        <v>46</v>
      </c>
      <c r="B8" s="21" t="n">
        <f aca="false">COUNTIF('참가 명단'!$S$6:$S$64,"입금완료")</f>
        <v>0</v>
      </c>
      <c r="D8" s="23" t="s">
        <v>47</v>
      </c>
      <c r="E8" s="24" t="n">
        <f aca="false">COUNTIF('참가 명단'!$D$6:$D$64,D8)</f>
        <v>0</v>
      </c>
    </row>
    <row r="9" customFormat="false" ht="19.5" hidden="false" customHeight="true" outlineLevel="0" collapsed="false">
      <c r="A9" s="20" t="s">
        <v>48</v>
      </c>
      <c r="B9" s="21" t="n">
        <f aca="false">COUNTIF('참가 명단'!$T$6:$T$64,"확정")</f>
        <v>0</v>
      </c>
    </row>
    <row r="10" customFormat="false" ht="19.5" hidden="false" customHeight="true" outlineLevel="0" collapsed="false">
      <c r="A10" s="20" t="s">
        <v>49</v>
      </c>
      <c r="B10" s="21" t="n">
        <f aca="false">COUNTIF('참가 명단'!$R$6:$R$64,"Y")</f>
        <v>0</v>
      </c>
    </row>
    <row r="11" customFormat="false" ht="15" hidden="false" customHeight="false" outlineLevel="0" collapsed="false">
      <c r="D11" s="22" t="s">
        <v>50</v>
      </c>
    </row>
    <row r="12" customFormat="false" ht="15" hidden="false" customHeight="false" outlineLevel="0" collapsed="false">
      <c r="D12" s="25" t="s">
        <v>51</v>
      </c>
      <c r="E12" s="24" t="n">
        <f aca="false">COUNTIF('참가 명단'!$C$6:$C$64,D12)</f>
        <v>0</v>
      </c>
    </row>
    <row r="13" customFormat="false" ht="15" hidden="false" customHeight="false" outlineLevel="0" collapsed="false">
      <c r="A13" s="26" t="s">
        <v>52</v>
      </c>
      <c r="D13" s="25" t="s">
        <v>53</v>
      </c>
      <c r="E13" s="24" t="n">
        <f aca="false">COUNTIF('참가 명단'!$C$6:$C$64,D13)</f>
        <v>0</v>
      </c>
    </row>
    <row r="14" customFormat="false" ht="15" hidden="false" customHeight="false" outlineLevel="0" collapsed="false">
      <c r="A14" s="27" t="s">
        <v>54</v>
      </c>
      <c r="B14" s="27"/>
      <c r="C14" s="27"/>
      <c r="D14" s="25" t="s">
        <v>55</v>
      </c>
      <c r="E14" s="24" t="n">
        <f aca="false">COUNTIF('참가 명단'!$C$6:$C$64,D14)</f>
        <v>0</v>
      </c>
    </row>
    <row r="15" customFormat="false" ht="15" hidden="false" customHeight="false" outlineLevel="0" collapsed="false">
      <c r="A15" s="27" t="s">
        <v>56</v>
      </c>
      <c r="B15" s="27"/>
      <c r="C15" s="27"/>
      <c r="D15" s="25" t="s">
        <v>57</v>
      </c>
      <c r="E15" s="24" t="n">
        <f aca="false">COUNTIF('참가 명단'!$C$6:$C$64,D15)</f>
        <v>0</v>
      </c>
    </row>
    <row r="16" customFormat="false" ht="15" hidden="false" customHeight="false" outlineLevel="0" collapsed="false">
      <c r="A16" s="27" t="s">
        <v>58</v>
      </c>
      <c r="B16" s="27"/>
      <c r="C16" s="27"/>
      <c r="D16" s="25" t="s">
        <v>59</v>
      </c>
      <c r="E16" s="24" t="n">
        <f aca="false">COUNTIF('참가 명단'!$C$6:$C$64,D16)</f>
        <v>0</v>
      </c>
    </row>
    <row r="17" customFormat="false" ht="15" hidden="false" customHeight="false" outlineLevel="0" collapsed="false">
      <c r="A17" s="27" t="s">
        <v>60</v>
      </c>
      <c r="B17" s="27"/>
      <c r="C17" s="27"/>
      <c r="D17" s="25" t="s">
        <v>61</v>
      </c>
      <c r="E17" s="24" t="n">
        <f aca="false">COUNTIF('참가 명단'!$C$6:$C$64,D17)</f>
        <v>0</v>
      </c>
    </row>
    <row r="18" customFormat="false" ht="15" hidden="false" customHeight="false" outlineLevel="0" collapsed="false">
      <c r="A18" s="27" t="s">
        <v>62</v>
      </c>
      <c r="B18" s="27"/>
      <c r="C18" s="27"/>
      <c r="D18" s="25" t="s">
        <v>63</v>
      </c>
      <c r="E18" s="24" t="n">
        <f aca="false">COUNTIF('참가 명단'!$C$6:$C$64,D18)</f>
        <v>0</v>
      </c>
    </row>
    <row r="19" customFormat="false" ht="15" hidden="false" customHeight="false" outlineLevel="0" collapsed="false">
      <c r="A19" s="27" t="s">
        <v>64</v>
      </c>
      <c r="B19" s="27"/>
      <c r="C19" s="27"/>
      <c r="D19" s="25" t="s">
        <v>65</v>
      </c>
      <c r="E19" s="24" t="n">
        <f aca="false">COUNTIF('참가 명단'!$C$6:$C$64,D19)</f>
        <v>0</v>
      </c>
    </row>
    <row r="20" customFormat="false" ht="15" hidden="false" customHeight="false" outlineLevel="0" collapsed="false">
      <c r="D20" s="25" t="s">
        <v>66</v>
      </c>
      <c r="E20" s="24" t="n">
        <f aca="false">COUNTIF('참가 명단'!$C$6:$C$64,D20)</f>
        <v>0</v>
      </c>
    </row>
    <row r="21" customFormat="false" ht="15" hidden="false" customHeight="false" outlineLevel="0" collapsed="false">
      <c r="D21" s="25" t="s">
        <v>67</v>
      </c>
      <c r="E21" s="24" t="n">
        <f aca="false">COUNTIF('참가 명단'!$C$6:$C$64,D21)</f>
        <v>0</v>
      </c>
    </row>
    <row r="22" customFormat="false" ht="15" hidden="false" customHeight="false" outlineLevel="0" collapsed="false">
      <c r="D22" s="23" t="s">
        <v>68</v>
      </c>
      <c r="E22" s="24" t="n">
        <f aca="false">COUNTIF('참가 명단'!$C$6:$C$64,D22)</f>
        <v>0</v>
      </c>
    </row>
  </sheetData>
  <mergeCells count="6">
    <mergeCell ref="A14:C14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2026-08-25T20:03:09Z</dcterms:created>
  <dc:creator>openpyxl</dc:creator>
  <dc:description/>
  <dc:language>en-US</dc:language>
  <cp:lastModifiedBy/>
  <dcterms:modified xsi:type="dcterms:W3CDTF">2026-08-25T20:03:09Z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